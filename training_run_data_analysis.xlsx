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ta\programming\python\yolomg-stw\"/>
    </mc:Choice>
  </mc:AlternateContent>
  <xr:revisionPtr revIDLastSave="0" documentId="13_ncr:1_{41A9CAD5-C473-4538-AF9A-57B9C93087CE}" xr6:coauthVersionLast="47" xr6:coauthVersionMax="47" xr10:uidLastSave="{00000000-0000-0000-0000-000000000000}"/>
  <bookViews>
    <workbookView xWindow="-103" yWindow="-103" windowWidth="22149" windowHeight="13200" xr2:uid="{0E0F7E5E-85CE-4CEF-BB80-A4BFDD82C86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83" i="1" l="1"/>
  <c r="G84" i="1"/>
  <c r="G85" i="1"/>
  <c r="G86" i="1"/>
  <c r="G87" i="1"/>
  <c r="G88" i="1"/>
  <c r="G89" i="1"/>
  <c r="G90" i="1" s="1"/>
  <c r="G92" i="1" s="1"/>
  <c r="G71" i="1"/>
  <c r="G72" i="1"/>
  <c r="G73" i="1"/>
  <c r="G74" i="1"/>
  <c r="G75" i="1"/>
  <c r="G76" i="1"/>
  <c r="G77" i="1"/>
  <c r="G78" i="1"/>
  <c r="G80" i="1" s="1"/>
  <c r="G59" i="1"/>
  <c r="G60" i="1"/>
  <c r="G65" i="1" s="1"/>
  <c r="G66" i="1" s="1"/>
  <c r="G68" i="1" s="1"/>
  <c r="G61" i="1"/>
  <c r="G62" i="1"/>
  <c r="G63" i="1"/>
  <c r="G64" i="1"/>
  <c r="G47" i="1"/>
  <c r="G48" i="1"/>
  <c r="G49" i="1"/>
  <c r="G50" i="1"/>
  <c r="G51" i="1"/>
  <c r="G52" i="1"/>
  <c r="G53" i="1"/>
  <c r="G54" i="1"/>
  <c r="G36" i="1"/>
  <c r="G41" i="1" s="1"/>
  <c r="G42" i="1" s="1"/>
  <c r="G44" i="1" s="1"/>
  <c r="G37" i="1"/>
  <c r="G38" i="1"/>
  <c r="G39" i="1"/>
  <c r="G40" i="1"/>
  <c r="F44" i="1"/>
  <c r="H44" i="1"/>
  <c r="I44" i="1"/>
  <c r="J44" i="1"/>
  <c r="K44" i="1"/>
  <c r="G56" i="1"/>
  <c r="H56" i="1"/>
  <c r="I56" i="1"/>
  <c r="J56" i="1"/>
  <c r="K56" i="1"/>
  <c r="H68" i="1"/>
  <c r="I68" i="1"/>
  <c r="J68" i="1"/>
  <c r="K68" i="1"/>
  <c r="H80" i="1"/>
  <c r="I80" i="1"/>
  <c r="J80" i="1"/>
  <c r="K80" i="1"/>
  <c r="H92" i="1"/>
  <c r="I92" i="1"/>
  <c r="J92" i="1"/>
  <c r="K92" i="1"/>
  <c r="F47" i="1"/>
  <c r="F35" i="1"/>
  <c r="F37" i="1"/>
  <c r="F38" i="1"/>
  <c r="F39" i="1"/>
  <c r="F40" i="1"/>
  <c r="F73" i="1"/>
  <c r="F74" i="1"/>
  <c r="F75" i="1"/>
  <c r="F76" i="1" s="1"/>
  <c r="F85" i="1"/>
  <c r="F88" i="1" s="1"/>
  <c r="F86" i="1"/>
  <c r="F87" i="1"/>
  <c r="E42" i="1"/>
  <c r="E87" i="1"/>
  <c r="E75" i="1"/>
  <c r="E63" i="1"/>
  <c r="E51" i="1"/>
  <c r="E85" i="1"/>
  <c r="E88" i="1" s="1"/>
  <c r="E89" i="1" s="1"/>
  <c r="E73" i="1"/>
  <c r="E76" i="1" s="1"/>
  <c r="E77" i="1" s="1"/>
  <c r="E61" i="1"/>
  <c r="E64" i="1" s="1"/>
  <c r="E65" i="1" s="1"/>
  <c r="E49" i="1"/>
  <c r="E52" i="1" s="1"/>
  <c r="E53" i="1" s="1"/>
  <c r="E83" i="1"/>
  <c r="E71" i="1"/>
  <c r="E59" i="1"/>
  <c r="E47" i="1"/>
  <c r="E86" i="1"/>
  <c r="E74" i="1"/>
  <c r="E62" i="1"/>
  <c r="E50" i="1"/>
  <c r="E39" i="1"/>
  <c r="E38" i="1"/>
  <c r="E37" i="1"/>
  <c r="E40" i="1"/>
  <c r="E60" i="1"/>
  <c r="E84" i="1"/>
  <c r="E72" i="1"/>
  <c r="E48" i="1"/>
  <c r="F16" i="1"/>
  <c r="G35" i="1"/>
  <c r="H35" i="1"/>
  <c r="I35" i="1"/>
  <c r="J35" i="1"/>
  <c r="K35" i="1"/>
  <c r="E35" i="1"/>
  <c r="E36" i="1" s="1"/>
  <c r="E41" i="1" s="1"/>
  <c r="E44" i="1" s="1"/>
  <c r="E13" i="1"/>
  <c r="E16" i="1"/>
  <c r="F48" i="1" l="1"/>
  <c r="F36" i="1"/>
  <c r="F41" i="1" s="1"/>
  <c r="F42" i="1" s="1"/>
  <c r="F59" i="1"/>
  <c r="F60" i="1" s="1"/>
  <c r="F71" i="1"/>
  <c r="F72" i="1" s="1"/>
  <c r="F83" i="1"/>
  <c r="F84" i="1" s="1"/>
  <c r="F89" i="1"/>
  <c r="F90" i="1" s="1"/>
  <c r="F92" i="1" s="1"/>
  <c r="F49" i="1"/>
  <c r="F61" i="1"/>
  <c r="F64" i="1" s="1"/>
  <c r="F65" i="1" s="1"/>
  <c r="F66" i="1" s="1"/>
  <c r="F68" i="1" s="1"/>
  <c r="F50" i="1"/>
  <c r="F62" i="1"/>
  <c r="F51" i="1"/>
  <c r="F63" i="1"/>
  <c r="F77" i="1"/>
  <c r="F78" i="1" s="1"/>
  <c r="F80" i="1" s="1"/>
  <c r="E78" i="1"/>
  <c r="E80" i="1" s="1"/>
  <c r="E66" i="1"/>
  <c r="E68" i="1" s="1"/>
  <c r="E54" i="1"/>
  <c r="E56" i="1" s="1"/>
  <c r="E90" i="1"/>
  <c r="E92" i="1" s="1"/>
  <c r="F52" i="1" l="1"/>
  <c r="F53" i="1" s="1"/>
  <c r="F54" i="1" s="1"/>
  <c r="F56" i="1" s="1"/>
</calcChain>
</file>

<file path=xl/sharedStrings.xml><?xml version="1.0" encoding="utf-8"?>
<sst xmlns="http://schemas.openxmlformats.org/spreadsheetml/2006/main" count="268" uniqueCount="107">
  <si>
    <t>GPU Utilisation</t>
  </si>
  <si>
    <t>Est. Achieved Occupancy</t>
  </si>
  <si>
    <t>Images per second</t>
  </si>
  <si>
    <t>Total training time</t>
  </si>
  <si>
    <t>Train begin time</t>
  </si>
  <si>
    <t>Train end time</t>
  </si>
  <si>
    <t>DataLoader time percentage</t>
  </si>
  <si>
    <t>Kernel time duration</t>
  </si>
  <si>
    <t>Metric</t>
  </si>
  <si>
    <t>Standardises performance across different batch sizes</t>
  </si>
  <si>
    <t>Note on why recording</t>
  </si>
  <si>
    <t>Drives compute costs</t>
  </si>
  <si>
    <t>Average duration of a forward-backward-update pass</t>
  </si>
  <si>
    <t>How often the GPU has active kernels queued</t>
  </si>
  <si>
    <t>Percentage of step spent waiting for CPU to serve data to GPU</t>
  </si>
  <si>
    <t>Total time GPU spent computing (compare to step time to understand CPU scheduling delays)</t>
  </si>
  <si>
    <t>Low tensor core utilisation means GPU not running at maximum efficiency</t>
  </si>
  <si>
    <t>Batch size</t>
  </si>
  <si>
    <t>Batches per second</t>
  </si>
  <si>
    <t>Source</t>
  </si>
  <si>
    <t>ClearML</t>
  </si>
  <si>
    <t>Derived</t>
  </si>
  <si>
    <t>Tensorboard Overview</t>
  </si>
  <si>
    <t>Tensorboard Kernel View</t>
  </si>
  <si>
    <t>Tensorboard Operator View</t>
  </si>
  <si>
    <t>Est. SM (Streaming Multiprocessor) Efficiency</t>
  </si>
  <si>
    <t xml:space="preserve">Average Step time </t>
  </si>
  <si>
    <t>Tensor core utilisation</t>
  </si>
  <si>
    <t>CUDA sync time duration</t>
  </si>
  <si>
    <t xml:space="preserve">Memcpy Duration Percentage </t>
  </si>
  <si>
    <t>Measures how 'full' the SMs are - higher generally better</t>
  </si>
  <si>
    <t>Measures how much of the GPU being used - low SM efficiency indicates issues with kernel size (too small) or data throughput (too slow)</t>
  </si>
  <si>
    <t>CPU execution time</t>
  </si>
  <si>
    <t>How much of the step is taken up by CPU execution time (e.g. image augmentations) - though increasing this does not necessary lead to overall increase in training time (because CPU/GPU operate asynchonously)</t>
  </si>
  <si>
    <t>Test Training Run Results</t>
  </si>
  <si>
    <t>Full Training Run Projections</t>
  </si>
  <si>
    <t>Total Image Number</t>
  </si>
  <si>
    <t>Total Epochs</t>
  </si>
  <si>
    <t>VRAM</t>
  </si>
  <si>
    <t>Bandwidth</t>
  </si>
  <si>
    <t>Batch Size</t>
  </si>
  <si>
    <t>Projected Batch Size</t>
  </si>
  <si>
    <t>Projected Steps per Epoch</t>
  </si>
  <si>
    <t>Projected Step Time</t>
  </si>
  <si>
    <t>GPU Hourly Rate</t>
  </si>
  <si>
    <t>Projected Cost</t>
  </si>
  <si>
    <t>B200</t>
  </si>
  <si>
    <t>GPU Summary</t>
  </si>
  <si>
    <t>Execution Summary</t>
  </si>
  <si>
    <t>Memset</t>
  </si>
  <si>
    <t>Runtime</t>
  </si>
  <si>
    <t>Other</t>
  </si>
  <si>
    <t>Baseline batch size * (target VRAM / baseline VRAM)</t>
  </si>
  <si>
    <t>Total images / projected batch size</t>
  </si>
  <si>
    <t>Hardware scaling time</t>
  </si>
  <si>
    <t>(Kernel time + Memset time) * (baseline bandwidth/target bandwidth)</t>
  </si>
  <si>
    <t>Bus scaling time</t>
  </si>
  <si>
    <t>Memcpy time</t>
  </si>
  <si>
    <t>Memcpy time (assuming constant PCIe)</t>
  </si>
  <si>
    <t>Fixed host time</t>
  </si>
  <si>
    <t>Runtime + dataloader + cpu execution + other</t>
  </si>
  <si>
    <t>Hardware scaling time + bus scaling time + fixed host time</t>
  </si>
  <si>
    <t>Projected step time * projected steps per epoch * total epochs</t>
  </si>
  <si>
    <t>Projected total time * GPU hourly rate</t>
  </si>
  <si>
    <t>Test Number</t>
  </si>
  <si>
    <t>Test Description</t>
  </si>
  <si>
    <t>01</t>
  </si>
  <si>
    <t>02</t>
  </si>
  <si>
    <t>03</t>
  </si>
  <si>
    <t>04</t>
  </si>
  <si>
    <t>Baseline with 640px images</t>
  </si>
  <si>
    <t>Adding --cache disk</t>
  </si>
  <si>
    <t>Limiting cpu/gpu sync to every 20 batches</t>
  </si>
  <si>
    <t>In-place numpy updates</t>
  </si>
  <si>
    <t>05</t>
  </si>
  <si>
    <t>Enabling tensor cores by specifying TF32</t>
  </si>
  <si>
    <t xml:space="preserve">06 </t>
  </si>
  <si>
    <t>Changing tensor format from NCHW to NHWC</t>
  </si>
  <si>
    <t>07</t>
  </si>
  <si>
    <t>Using torch.compile for more efficient kernels</t>
  </si>
  <si>
    <t>Runpod</t>
  </si>
  <si>
    <t>Experiment parameter</t>
  </si>
  <si>
    <t>Step time</t>
  </si>
  <si>
    <t>Tensorboard</t>
  </si>
  <si>
    <t>Time spent waiting for data to copy</t>
  </si>
  <si>
    <t>CUDA runtime execution time</t>
  </si>
  <si>
    <t>Time to initialise VRAM</t>
  </si>
  <si>
    <t>NOT A METRIC - NEED TO REVIEW IN 'TRACE'. Measures CPU-blocking calls like .item() [aten::item] and aten::_local_scalar_dense. Can see in trace with cudaStreamSynchronise blocks underneath these items (the CPU is waiting for the GPU to send the necessary value)</t>
  </si>
  <si>
    <t>N/A</t>
  </si>
  <si>
    <t>Very similar Trace structure to base run. Possibly slightly narrower CPU white gaps</t>
  </si>
  <si>
    <t>RTX6000 Ada</t>
  </si>
  <si>
    <t>RTX PRO 6000</t>
  </si>
  <si>
    <t>H100 SXM</t>
  </si>
  <si>
    <t>Projected Total Time (us)</t>
  </si>
  <si>
    <t>Projected Total Time (hours)</t>
  </si>
  <si>
    <t>Time (in us) / 3,600,000,000</t>
  </si>
  <si>
    <t>Kernel time + Memset time</t>
  </si>
  <si>
    <t>in GB</t>
  </si>
  <si>
    <t>(in TB/s)</t>
  </si>
  <si>
    <t>https://inworld.ai/resources/nvidia-b200-gpu-cloud</t>
  </si>
  <si>
    <t>https://www.runpod.io/articles/guides/nvidia-h100</t>
  </si>
  <si>
    <t>https://lenovopress.lenovo.com/lp2364-thinksystem-nvidia-rtx-pro-6000-blackwell-max-q-workstation-edition-gpu</t>
  </si>
  <si>
    <t>https://www.nvidia.com/content/dam/en-zz/Solutions/design-visualization/rtx-6000/proviz-print-rtx6000-datasheet-web-2504660.pdf</t>
  </si>
  <si>
    <t>https://www.techpowerup.com/gpu-specs/geforce-rtx-4090.c3889</t>
  </si>
  <si>
    <t>(Usually RTX4090 BUT</t>
  </si>
  <si>
    <t>not necessarily)</t>
  </si>
  <si>
    <t>Baseline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</si>
</sst>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7" formatCode="[h]:mm:ss;@"/>
    <numFmt numFmtId="168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167" fontId="0" fillId="0" borderId="0" xfId="0" applyNumberFormat="1"/>
    <xf numFmtId="2" fontId="0" fillId="0" borderId="0" xfId="0" applyNumberFormat="1"/>
    <xf numFmtId="168" fontId="0" fillId="0" borderId="0" xfId="0" applyNumberFormat="1"/>
    <xf numFmtId="1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1" fillId="0" borderId="0" xfId="0" applyFont="1" applyBorder="1"/>
    <xf numFmtId="0" fontId="0" fillId="0" borderId="0" xfId="0" applyBorder="1"/>
    <xf numFmtId="0" fontId="2" fillId="0" borderId="0" xfId="1" applyBorder="1"/>
    <xf numFmtId="1" fontId="0" fillId="0" borderId="0" xfId="0" applyNumberFormat="1" applyBorder="1"/>
    <xf numFmtId="2" fontId="0" fillId="0" borderId="0" xfId="0" applyNumberFormat="1" applyBorder="1"/>
    <xf numFmtId="0" fontId="1" fillId="0" borderId="2" xfId="0" applyFont="1" applyBorder="1"/>
    <xf numFmtId="2" fontId="1" fillId="0" borderId="2" xfId="0" applyNumberFormat="1" applyFont="1" applyBorder="1"/>
    <xf numFmtId="0" fontId="0" fillId="0" borderId="2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lenovopress.lenovo.com/lp2364-thinksystem-nvidia-rtx-pro-6000-blackwell-max-q-workstation-edition-gpu" TargetMode="External"/><Relationship Id="rId2" Type="http://schemas.openxmlformats.org/officeDocument/2006/relationships/hyperlink" Target="https://www.runpod.io/articles/guides/nvidia-h100" TargetMode="External"/><Relationship Id="rId1" Type="http://schemas.openxmlformats.org/officeDocument/2006/relationships/hyperlink" Target="https://inworld.ai/resources/nvidia-b200-gpu-cloud" TargetMode="External"/><Relationship Id="rId5" Type="http://schemas.openxmlformats.org/officeDocument/2006/relationships/hyperlink" Target="https://www.techpowerup.com/gpu-specs/geforce-rtx-4090.c3889" TargetMode="External"/><Relationship Id="rId4" Type="http://schemas.openxmlformats.org/officeDocument/2006/relationships/hyperlink" Target="https://www.nvidia.com/content/dam/en-zz/Solutions/design-visualization/rtx-6000/proviz-print-rtx6000-datasheet-web-250466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401FA-EEA0-488B-A983-56A70DAAC458}">
  <dimension ref="A1:K92"/>
  <sheetViews>
    <sheetView tabSelected="1" zoomScaleNormal="100" workbookViewId="0">
      <selection activeCell="H11" sqref="H11"/>
    </sheetView>
  </sheetViews>
  <sheetFormatPr defaultRowHeight="14.6" x14ac:dyDescent="0.4"/>
  <cols>
    <col min="1" max="1" width="24.07421875" customWidth="1"/>
    <col min="2" max="2" width="25.765625" customWidth="1"/>
    <col min="3" max="3" width="8.3046875" customWidth="1"/>
    <col min="4" max="4" width="47.921875" customWidth="1"/>
    <col min="5" max="5" width="13" customWidth="1"/>
    <col min="6" max="11" width="7.765625" customWidth="1"/>
    <col min="14" max="14" width="21.4609375" bestFit="1" customWidth="1"/>
  </cols>
  <sheetData>
    <row r="1" spans="1:11" x14ac:dyDescent="0.4">
      <c r="A1" s="8" t="s">
        <v>64</v>
      </c>
      <c r="B1" s="1" t="s">
        <v>65</v>
      </c>
    </row>
    <row r="2" spans="1:11" x14ac:dyDescent="0.4">
      <c r="A2" s="7" t="s">
        <v>66</v>
      </c>
      <c r="B2" t="s">
        <v>70</v>
      </c>
    </row>
    <row r="3" spans="1:11" x14ac:dyDescent="0.4">
      <c r="A3" s="7" t="s">
        <v>67</v>
      </c>
      <c r="B3" t="s">
        <v>71</v>
      </c>
    </row>
    <row r="4" spans="1:11" x14ac:dyDescent="0.4">
      <c r="A4" s="7" t="s">
        <v>68</v>
      </c>
      <c r="B4" t="s">
        <v>72</v>
      </c>
    </row>
    <row r="5" spans="1:11" x14ac:dyDescent="0.4">
      <c r="A5" s="7" t="s">
        <v>69</v>
      </c>
      <c r="B5" t="s">
        <v>73</v>
      </c>
    </row>
    <row r="6" spans="1:11" x14ac:dyDescent="0.4">
      <c r="A6" s="7" t="s">
        <v>74</v>
      </c>
      <c r="B6" t="s">
        <v>75</v>
      </c>
    </row>
    <row r="7" spans="1:11" x14ac:dyDescent="0.4">
      <c r="A7" s="7" t="s">
        <v>76</v>
      </c>
      <c r="B7" t="s">
        <v>77</v>
      </c>
    </row>
    <row r="8" spans="1:11" x14ac:dyDescent="0.4">
      <c r="A8" s="7" t="s">
        <v>78</v>
      </c>
      <c r="B8" t="s">
        <v>79</v>
      </c>
    </row>
    <row r="10" spans="1:11" x14ac:dyDescent="0.4">
      <c r="B10" s="1" t="s">
        <v>8</v>
      </c>
      <c r="C10" s="1" t="s">
        <v>19</v>
      </c>
      <c r="D10" s="1" t="s">
        <v>10</v>
      </c>
      <c r="E10" s="9" t="s">
        <v>66</v>
      </c>
      <c r="F10" s="9" t="s">
        <v>67</v>
      </c>
      <c r="G10" s="9" t="s">
        <v>68</v>
      </c>
      <c r="H10" s="9" t="s">
        <v>69</v>
      </c>
      <c r="I10" s="9" t="s">
        <v>74</v>
      </c>
      <c r="J10" s="9" t="s">
        <v>76</v>
      </c>
      <c r="K10" s="9" t="s">
        <v>78</v>
      </c>
    </row>
    <row r="11" spans="1:11" x14ac:dyDescent="0.4">
      <c r="A11" s="1" t="s">
        <v>34</v>
      </c>
      <c r="B11" t="s">
        <v>17</v>
      </c>
      <c r="C11" t="s">
        <v>20</v>
      </c>
      <c r="D11" s="1"/>
      <c r="E11">
        <v>27</v>
      </c>
      <c r="F11">
        <v>27</v>
      </c>
      <c r="G11">
        <v>27</v>
      </c>
    </row>
    <row r="12" spans="1:11" x14ac:dyDescent="0.4">
      <c r="B12" t="s">
        <v>18</v>
      </c>
      <c r="C12" t="s">
        <v>20</v>
      </c>
      <c r="D12" s="1"/>
    </row>
    <row r="13" spans="1:11" x14ac:dyDescent="0.4">
      <c r="B13" t="s">
        <v>2</v>
      </c>
      <c r="C13" t="s">
        <v>21</v>
      </c>
      <c r="D13" t="s">
        <v>9</v>
      </c>
      <c r="E13" t="str">
        <f>IF(E12="","",E12*E11)</f>
        <v/>
      </c>
    </row>
    <row r="14" spans="1:11" x14ac:dyDescent="0.4">
      <c r="B14" t="s">
        <v>4</v>
      </c>
      <c r="C14" t="s">
        <v>20</v>
      </c>
      <c r="E14" s="2">
        <v>8.0833333333333326E-2</v>
      </c>
      <c r="F14" s="2">
        <v>8.6585648148148148E-2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</row>
    <row r="15" spans="1:11" x14ac:dyDescent="0.4">
      <c r="B15" t="s">
        <v>5</v>
      </c>
      <c r="C15" t="s">
        <v>20</v>
      </c>
      <c r="E15" s="2">
        <v>8.4409722222222219E-2</v>
      </c>
      <c r="F15" s="2">
        <v>9.0081018518518519E-2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</row>
    <row r="16" spans="1:11" x14ac:dyDescent="0.4">
      <c r="B16" t="s">
        <v>3</v>
      </c>
      <c r="C16" t="s">
        <v>21</v>
      </c>
      <c r="D16" t="s">
        <v>11</v>
      </c>
      <c r="E16" s="2">
        <f>IF(E15="","",E15-E14)</f>
        <v>3.5763888888888928E-3</v>
      </c>
      <c r="F16" s="2">
        <f t="shared" ref="F16" si="0">IF(F15="","",F15-F14)</f>
        <v>3.4953703703703709E-3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</row>
    <row r="17" spans="1:11" x14ac:dyDescent="0.4">
      <c r="A17" s="1" t="s">
        <v>48</v>
      </c>
      <c r="B17" t="s">
        <v>26</v>
      </c>
      <c r="C17" t="s">
        <v>22</v>
      </c>
      <c r="D17" t="s">
        <v>12</v>
      </c>
      <c r="E17" s="5">
        <v>607806</v>
      </c>
      <c r="F17" s="5">
        <v>605018</v>
      </c>
      <c r="G17" s="5">
        <v>603210</v>
      </c>
      <c r="H17" s="5"/>
      <c r="I17" s="5"/>
      <c r="J17" s="5"/>
      <c r="K17" s="5"/>
    </row>
    <row r="18" spans="1:11" x14ac:dyDescent="0.4">
      <c r="A18" s="1"/>
      <c r="B18" t="s">
        <v>7</v>
      </c>
      <c r="C18" t="s">
        <v>22</v>
      </c>
      <c r="D18" t="s">
        <v>15</v>
      </c>
      <c r="E18" s="5">
        <v>504964</v>
      </c>
      <c r="F18" s="5">
        <v>514246</v>
      </c>
      <c r="G18" s="5">
        <v>514469</v>
      </c>
      <c r="H18" s="5"/>
      <c r="I18" s="5"/>
      <c r="J18" s="5"/>
      <c r="K18" s="5"/>
    </row>
    <row r="19" spans="1:11" x14ac:dyDescent="0.4">
      <c r="A19" s="1"/>
      <c r="B19" t="s">
        <v>29</v>
      </c>
      <c r="C19" t="s">
        <v>22</v>
      </c>
      <c r="D19" t="s">
        <v>84</v>
      </c>
      <c r="E19" s="5">
        <v>12948</v>
      </c>
      <c r="F19" s="5">
        <v>12460</v>
      </c>
      <c r="G19" s="5">
        <v>12436</v>
      </c>
      <c r="H19" s="5"/>
      <c r="I19" s="5"/>
      <c r="J19" s="5"/>
      <c r="K19" s="5"/>
    </row>
    <row r="20" spans="1:11" x14ac:dyDescent="0.4">
      <c r="A20" s="1"/>
      <c r="B20" t="s">
        <v>49</v>
      </c>
      <c r="C20" t="s">
        <v>22</v>
      </c>
      <c r="D20" t="s">
        <v>86</v>
      </c>
      <c r="E20" s="5">
        <v>1464</v>
      </c>
      <c r="F20" s="5">
        <v>1372</v>
      </c>
      <c r="G20" s="5">
        <v>1374</v>
      </c>
      <c r="H20" s="5"/>
      <c r="I20" s="5"/>
      <c r="J20" s="5"/>
      <c r="K20" s="5"/>
    </row>
    <row r="21" spans="1:11" x14ac:dyDescent="0.4">
      <c r="A21" s="1"/>
      <c r="B21" t="s">
        <v>50</v>
      </c>
      <c r="C21" t="s">
        <v>22</v>
      </c>
      <c r="D21" t="s">
        <v>85</v>
      </c>
      <c r="E21" s="5">
        <v>0</v>
      </c>
      <c r="F21" s="5">
        <v>0</v>
      </c>
      <c r="G21" s="5">
        <v>0</v>
      </c>
      <c r="H21" s="5"/>
      <c r="I21" s="5"/>
      <c r="J21" s="5"/>
      <c r="K21" s="5"/>
    </row>
    <row r="22" spans="1:11" x14ac:dyDescent="0.4">
      <c r="A22" s="1"/>
      <c r="B22" t="s">
        <v>6</v>
      </c>
      <c r="C22" t="s">
        <v>22</v>
      </c>
      <c r="D22" t="s">
        <v>14</v>
      </c>
      <c r="E22" s="5">
        <v>0</v>
      </c>
      <c r="F22" s="5">
        <v>0</v>
      </c>
      <c r="G22" s="5">
        <v>0</v>
      </c>
      <c r="H22" s="5"/>
      <c r="I22" s="5"/>
      <c r="J22" s="5"/>
      <c r="K22" s="5"/>
    </row>
    <row r="23" spans="1:11" x14ac:dyDescent="0.4">
      <c r="A23" s="1"/>
      <c r="B23" t="s">
        <v>32</v>
      </c>
      <c r="C23" t="s">
        <v>22</v>
      </c>
      <c r="D23" t="s">
        <v>33</v>
      </c>
      <c r="E23" s="5">
        <v>64042</v>
      </c>
      <c r="F23" s="5">
        <v>53850</v>
      </c>
      <c r="G23" s="5">
        <v>52803</v>
      </c>
      <c r="H23" s="5"/>
      <c r="I23" s="5"/>
      <c r="J23" s="5"/>
      <c r="K23" s="5"/>
    </row>
    <row r="24" spans="1:11" x14ac:dyDescent="0.4">
      <c r="A24" s="1"/>
      <c r="B24" t="s">
        <v>51</v>
      </c>
      <c r="C24" t="s">
        <v>22</v>
      </c>
      <c r="E24" s="5">
        <v>24386</v>
      </c>
      <c r="F24" s="5">
        <v>23092</v>
      </c>
      <c r="G24" s="5">
        <v>22130</v>
      </c>
      <c r="H24" s="5"/>
      <c r="I24" s="5"/>
      <c r="J24" s="5"/>
      <c r="K24" s="5"/>
    </row>
    <row r="25" spans="1:11" x14ac:dyDescent="0.4">
      <c r="A25" s="1" t="s">
        <v>47</v>
      </c>
      <c r="B25" t="s">
        <v>0</v>
      </c>
      <c r="C25" t="s">
        <v>22</v>
      </c>
      <c r="D25" t="s">
        <v>13</v>
      </c>
      <c r="E25" s="3">
        <v>83.08</v>
      </c>
      <c r="F25" s="3">
        <v>84.99</v>
      </c>
      <c r="G25" s="3">
        <v>85.28</v>
      </c>
      <c r="H25" s="3"/>
      <c r="I25" s="3"/>
      <c r="J25" s="3"/>
      <c r="K25" s="3"/>
    </row>
    <row r="26" spans="1:11" x14ac:dyDescent="0.4">
      <c r="B26" t="s">
        <v>25</v>
      </c>
      <c r="C26" t="s">
        <v>22</v>
      </c>
      <c r="D26" t="s">
        <v>31</v>
      </c>
      <c r="E26" s="3">
        <v>33.36</v>
      </c>
      <c r="F26" s="3">
        <v>34.03</v>
      </c>
      <c r="G26" s="3">
        <v>34.18</v>
      </c>
      <c r="H26" s="3"/>
      <c r="I26" s="3"/>
      <c r="J26" s="3"/>
      <c r="K26" s="3"/>
    </row>
    <row r="27" spans="1:11" x14ac:dyDescent="0.4">
      <c r="B27" t="s">
        <v>1</v>
      </c>
      <c r="C27" t="s">
        <v>22</v>
      </c>
      <c r="D27" t="s">
        <v>30</v>
      </c>
      <c r="E27" s="3">
        <v>22.41</v>
      </c>
      <c r="F27" s="3">
        <v>22.21</v>
      </c>
      <c r="G27" s="3">
        <v>22.24</v>
      </c>
      <c r="H27" s="3"/>
      <c r="I27" s="3"/>
      <c r="J27" s="3"/>
      <c r="K27" s="3"/>
    </row>
    <row r="28" spans="1:11" x14ac:dyDescent="0.4">
      <c r="B28" t="s">
        <v>28</v>
      </c>
      <c r="C28" t="s">
        <v>24</v>
      </c>
      <c r="D28" t="s">
        <v>87</v>
      </c>
      <c r="E28" s="6" t="s">
        <v>88</v>
      </c>
      <c r="F28" t="s">
        <v>89</v>
      </c>
      <c r="G28">
        <v>0</v>
      </c>
      <c r="H28">
        <v>0</v>
      </c>
      <c r="I28">
        <v>0</v>
      </c>
      <c r="J28">
        <v>0</v>
      </c>
      <c r="K28">
        <v>0</v>
      </c>
    </row>
    <row r="29" spans="1:11" x14ac:dyDescent="0.4">
      <c r="B29" t="s">
        <v>27</v>
      </c>
      <c r="C29" t="s">
        <v>23</v>
      </c>
      <c r="D29" t="s">
        <v>16</v>
      </c>
      <c r="E29">
        <v>5.0999999999999996</v>
      </c>
      <c r="F29" s="4">
        <v>5.0999999999999996</v>
      </c>
      <c r="G29" s="4">
        <v>5.0999999999999996</v>
      </c>
    </row>
    <row r="31" spans="1:11" x14ac:dyDescent="0.4">
      <c r="A31" s="1" t="s">
        <v>35</v>
      </c>
      <c r="B31" t="s">
        <v>36</v>
      </c>
      <c r="C31" t="s">
        <v>81</v>
      </c>
      <c r="E31">
        <v>100700</v>
      </c>
      <c r="F31">
        <v>100700</v>
      </c>
      <c r="G31">
        <v>100700</v>
      </c>
      <c r="H31">
        <v>100700</v>
      </c>
      <c r="I31">
        <v>100700</v>
      </c>
      <c r="J31">
        <v>100700</v>
      </c>
      <c r="K31">
        <v>100700</v>
      </c>
    </row>
    <row r="32" spans="1:11" x14ac:dyDescent="0.4">
      <c r="B32" t="s">
        <v>37</v>
      </c>
      <c r="C32" t="s">
        <v>81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</row>
    <row r="33" spans="1:11" x14ac:dyDescent="0.4">
      <c r="A33" s="10" t="s">
        <v>106</v>
      </c>
      <c r="B33" s="11" t="s">
        <v>38</v>
      </c>
      <c r="C33" s="11" t="s">
        <v>80</v>
      </c>
      <c r="D33" s="11" t="s">
        <v>97</v>
      </c>
      <c r="E33" s="11">
        <v>24</v>
      </c>
      <c r="F33" s="11">
        <v>24</v>
      </c>
      <c r="G33" s="11">
        <v>24</v>
      </c>
      <c r="H33" s="11">
        <v>24</v>
      </c>
      <c r="I33" s="11">
        <v>24</v>
      </c>
      <c r="J33" s="11">
        <v>24</v>
      </c>
      <c r="K33" s="11">
        <v>24</v>
      </c>
    </row>
    <row r="34" spans="1:11" x14ac:dyDescent="0.4">
      <c r="A34" s="12" t="s">
        <v>104</v>
      </c>
      <c r="B34" s="13" t="s">
        <v>39</v>
      </c>
      <c r="C34" s="14" t="s">
        <v>103</v>
      </c>
      <c r="D34" s="13" t="s">
        <v>98</v>
      </c>
      <c r="E34" s="13">
        <v>1.01</v>
      </c>
      <c r="F34" s="13">
        <v>1.01</v>
      </c>
      <c r="G34" s="13">
        <v>1.01</v>
      </c>
      <c r="H34" s="13">
        <v>1.01</v>
      </c>
      <c r="I34" s="13">
        <v>1.01</v>
      </c>
      <c r="J34" s="13">
        <v>1.01</v>
      </c>
      <c r="K34" s="13">
        <v>1.01</v>
      </c>
    </row>
    <row r="35" spans="1:11" x14ac:dyDescent="0.4">
      <c r="A35" s="12" t="s">
        <v>105</v>
      </c>
      <c r="B35" s="13" t="s">
        <v>40</v>
      </c>
      <c r="C35" s="13" t="s">
        <v>20</v>
      </c>
      <c r="D35" s="13"/>
      <c r="E35" s="13">
        <f>E11</f>
        <v>27</v>
      </c>
      <c r="F35" s="13">
        <f>F11</f>
        <v>27</v>
      </c>
      <c r="G35" s="13">
        <f t="shared" ref="F35:K35" si="1">G11</f>
        <v>27</v>
      </c>
      <c r="H35" s="13">
        <f t="shared" si="1"/>
        <v>0</v>
      </c>
      <c r="I35" s="13">
        <f t="shared" si="1"/>
        <v>0</v>
      </c>
      <c r="J35" s="13">
        <f t="shared" si="1"/>
        <v>0</v>
      </c>
      <c r="K35" s="13">
        <f t="shared" si="1"/>
        <v>0</v>
      </c>
    </row>
    <row r="36" spans="1:11" x14ac:dyDescent="0.4">
      <c r="A36" s="12"/>
      <c r="B36" s="13" t="s">
        <v>42</v>
      </c>
      <c r="C36" s="13" t="s">
        <v>21</v>
      </c>
      <c r="D36" s="13" t="s">
        <v>53</v>
      </c>
      <c r="E36" s="13">
        <f>IF(E35="","",E$31/E35)</f>
        <v>3729.6296296296296</v>
      </c>
      <c r="F36" s="13">
        <f>IF(F35="","",F$31/F35)</f>
        <v>3729.6296296296296</v>
      </c>
      <c r="G36" s="13">
        <f>IF(G35="","",G$31/G35)</f>
        <v>3729.6296296296296</v>
      </c>
      <c r="H36" s="13"/>
      <c r="I36" s="13"/>
      <c r="J36" s="13"/>
      <c r="K36" s="13"/>
    </row>
    <row r="37" spans="1:11" x14ac:dyDescent="0.4">
      <c r="A37" s="12"/>
      <c r="B37" s="13" t="s">
        <v>54</v>
      </c>
      <c r="C37" s="13" t="s">
        <v>83</v>
      </c>
      <c r="D37" s="13" t="s">
        <v>96</v>
      </c>
      <c r="E37" s="15">
        <f>E18+E20</f>
        <v>506428</v>
      </c>
      <c r="F37" s="15">
        <f>F18+F20</f>
        <v>515618</v>
      </c>
      <c r="G37" s="15">
        <f>G18+G20</f>
        <v>515843</v>
      </c>
      <c r="H37" s="13"/>
      <c r="I37" s="13"/>
      <c r="J37" s="13"/>
      <c r="K37" s="13"/>
    </row>
    <row r="38" spans="1:11" x14ac:dyDescent="0.4">
      <c r="A38" s="12"/>
      <c r="B38" s="13" t="s">
        <v>56</v>
      </c>
      <c r="C38" s="13" t="s">
        <v>83</v>
      </c>
      <c r="D38" s="13" t="s">
        <v>57</v>
      </c>
      <c r="E38" s="15">
        <f>E19</f>
        <v>12948</v>
      </c>
      <c r="F38" s="15">
        <f>F19</f>
        <v>12460</v>
      </c>
      <c r="G38" s="15">
        <f>G19</f>
        <v>12436</v>
      </c>
      <c r="H38" s="13"/>
      <c r="I38" s="13"/>
      <c r="J38" s="13"/>
      <c r="K38" s="13"/>
    </row>
    <row r="39" spans="1:11" x14ac:dyDescent="0.4">
      <c r="A39" s="12"/>
      <c r="B39" s="13" t="s">
        <v>59</v>
      </c>
      <c r="C39" s="13" t="s">
        <v>83</v>
      </c>
      <c r="D39" s="13" t="s">
        <v>60</v>
      </c>
      <c r="E39" s="15">
        <f>E21+E22+E23+E24</f>
        <v>88428</v>
      </c>
      <c r="F39" s="15">
        <f>F21+F22+F23+F24</f>
        <v>76942</v>
      </c>
      <c r="G39" s="15">
        <f>G21+G22+G23+G24</f>
        <v>74933</v>
      </c>
      <c r="H39" s="13"/>
      <c r="I39" s="13"/>
      <c r="J39" s="13"/>
      <c r="K39" s="13"/>
    </row>
    <row r="40" spans="1:11" x14ac:dyDescent="0.4">
      <c r="A40" s="12"/>
      <c r="B40" s="13" t="s">
        <v>82</v>
      </c>
      <c r="C40" s="13" t="s">
        <v>83</v>
      </c>
      <c r="D40" s="13"/>
      <c r="E40" s="15">
        <f>E17</f>
        <v>607806</v>
      </c>
      <c r="F40" s="15">
        <f>F17</f>
        <v>605018</v>
      </c>
      <c r="G40" s="15">
        <f>G17</f>
        <v>603210</v>
      </c>
      <c r="H40" s="13"/>
      <c r="I40" s="13"/>
      <c r="J40" s="13"/>
      <c r="K40" s="13"/>
    </row>
    <row r="41" spans="1:11" x14ac:dyDescent="0.4">
      <c r="A41" s="12"/>
      <c r="B41" s="13" t="s">
        <v>93</v>
      </c>
      <c r="C41" s="13" t="s">
        <v>21</v>
      </c>
      <c r="D41" s="13" t="s">
        <v>62</v>
      </c>
      <c r="E41" s="13">
        <f>E32*E36*E40</f>
        <v>226689126666.66669</v>
      </c>
      <c r="F41" s="13">
        <f>F32*F36*F40</f>
        <v>225649305925.92593</v>
      </c>
      <c r="G41" s="13">
        <f>G32*G36*G40</f>
        <v>224974988888.88889</v>
      </c>
      <c r="H41" s="13"/>
      <c r="I41" s="13"/>
      <c r="J41" s="13"/>
      <c r="K41" s="13"/>
    </row>
    <row r="42" spans="1:11" x14ac:dyDescent="0.4">
      <c r="A42" s="12"/>
      <c r="B42" s="13" t="s">
        <v>94</v>
      </c>
      <c r="C42" s="13" t="s">
        <v>21</v>
      </c>
      <c r="D42" s="13" t="s">
        <v>95</v>
      </c>
      <c r="E42" s="16">
        <f>E41/3600000000</f>
        <v>62.969201851851857</v>
      </c>
      <c r="F42" s="16">
        <f>F41/3600000000</f>
        <v>62.68036275720165</v>
      </c>
      <c r="G42" s="16">
        <f>G41/3600000000</f>
        <v>62.493052469135804</v>
      </c>
      <c r="H42" s="13"/>
      <c r="I42" s="13"/>
      <c r="J42" s="13"/>
      <c r="K42" s="13"/>
    </row>
    <row r="43" spans="1:11" x14ac:dyDescent="0.4">
      <c r="A43" s="12"/>
      <c r="B43" s="13" t="s">
        <v>44</v>
      </c>
      <c r="C43" s="13" t="s">
        <v>80</v>
      </c>
      <c r="D43" s="13"/>
      <c r="E43" s="13">
        <v>0.69</v>
      </c>
      <c r="F43" s="13">
        <v>0.69</v>
      </c>
      <c r="G43" s="13">
        <v>0.69</v>
      </c>
      <c r="H43" s="13">
        <v>0.69</v>
      </c>
      <c r="I43" s="13">
        <v>0.69</v>
      </c>
      <c r="J43" s="13">
        <v>0.69</v>
      </c>
      <c r="K43" s="13">
        <v>0.69</v>
      </c>
    </row>
    <row r="44" spans="1:11" x14ac:dyDescent="0.4">
      <c r="A44" s="17"/>
      <c r="B44" s="17" t="s">
        <v>45</v>
      </c>
      <c r="C44" s="17" t="s">
        <v>21</v>
      </c>
      <c r="D44" s="17" t="s">
        <v>63</v>
      </c>
      <c r="E44" s="18">
        <f>E42*E43</f>
        <v>43.448749277777779</v>
      </c>
      <c r="F44" s="18">
        <f t="shared" ref="F44:K44" si="2">F42*F43</f>
        <v>43.249450302469135</v>
      </c>
      <c r="G44" s="18">
        <f t="shared" si="2"/>
        <v>43.120206203703702</v>
      </c>
      <c r="H44" s="18">
        <f t="shared" si="2"/>
        <v>0</v>
      </c>
      <c r="I44" s="18">
        <f t="shared" si="2"/>
        <v>0</v>
      </c>
      <c r="J44" s="18">
        <f t="shared" si="2"/>
        <v>0</v>
      </c>
      <c r="K44" s="18">
        <f t="shared" si="2"/>
        <v>0</v>
      </c>
    </row>
    <row r="45" spans="1:11" x14ac:dyDescent="0.4">
      <c r="A45" s="10" t="s">
        <v>90</v>
      </c>
      <c r="B45" s="11" t="s">
        <v>38</v>
      </c>
      <c r="C45" s="11" t="s">
        <v>80</v>
      </c>
      <c r="D45" s="11" t="s">
        <v>97</v>
      </c>
      <c r="E45" s="11">
        <v>48</v>
      </c>
      <c r="F45" s="11">
        <v>48</v>
      </c>
      <c r="G45" s="11">
        <v>48</v>
      </c>
      <c r="H45" s="11">
        <v>48</v>
      </c>
      <c r="I45" s="11">
        <v>48</v>
      </c>
      <c r="J45" s="11">
        <v>48</v>
      </c>
      <c r="K45" s="11">
        <v>48</v>
      </c>
    </row>
    <row r="46" spans="1:11" x14ac:dyDescent="0.4">
      <c r="A46" s="12"/>
      <c r="B46" s="13" t="s">
        <v>39</v>
      </c>
      <c r="C46" s="14" t="s">
        <v>102</v>
      </c>
      <c r="D46" s="13" t="s">
        <v>98</v>
      </c>
      <c r="E46" s="13">
        <v>0.96</v>
      </c>
      <c r="F46" s="13">
        <v>0.96</v>
      </c>
      <c r="G46" s="13">
        <v>0.96</v>
      </c>
      <c r="H46" s="13">
        <v>0.96</v>
      </c>
      <c r="I46" s="13">
        <v>0.96</v>
      </c>
      <c r="J46" s="13">
        <v>0.96</v>
      </c>
      <c r="K46" s="13">
        <v>0.96</v>
      </c>
    </row>
    <row r="47" spans="1:11" x14ac:dyDescent="0.4">
      <c r="A47" s="12"/>
      <c r="B47" s="13" t="s">
        <v>41</v>
      </c>
      <c r="C47" s="13" t="s">
        <v>21</v>
      </c>
      <c r="D47" s="13" t="s">
        <v>52</v>
      </c>
      <c r="E47" s="13">
        <f>E$35*(E45/E$33)</f>
        <v>54</v>
      </c>
      <c r="F47" s="13">
        <f>F$35*(F45/F$33)</f>
        <v>54</v>
      </c>
      <c r="G47" s="13">
        <f>G$35*(G45/G$33)</f>
        <v>54</v>
      </c>
      <c r="H47" s="13"/>
      <c r="I47" s="13"/>
      <c r="J47" s="13"/>
      <c r="K47" s="13"/>
    </row>
    <row r="48" spans="1:11" x14ac:dyDescent="0.4">
      <c r="A48" s="12"/>
      <c r="B48" s="13" t="s">
        <v>42</v>
      </c>
      <c r="C48" s="13" t="s">
        <v>21</v>
      </c>
      <c r="D48" s="13" t="s">
        <v>53</v>
      </c>
      <c r="E48" s="13">
        <f>IF(E47="","",E$31/E47)</f>
        <v>1864.8148148148148</v>
      </c>
      <c r="F48" s="13">
        <f>IF(F47="","",F$31/F47)</f>
        <v>1864.8148148148148</v>
      </c>
      <c r="G48" s="13">
        <f>IF(G47="","",G$31/G47)</f>
        <v>1864.8148148148148</v>
      </c>
      <c r="H48" s="13"/>
      <c r="I48" s="13"/>
      <c r="J48" s="13"/>
      <c r="K48" s="13"/>
    </row>
    <row r="49" spans="1:11" x14ac:dyDescent="0.4">
      <c r="A49" s="12"/>
      <c r="B49" s="13" t="s">
        <v>54</v>
      </c>
      <c r="C49" s="13" t="s">
        <v>21</v>
      </c>
      <c r="D49" s="13" t="s">
        <v>55</v>
      </c>
      <c r="E49" s="13">
        <f>E$37*(E$34/E46)</f>
        <v>532804.45833333337</v>
      </c>
      <c r="F49" s="13">
        <f>F$37*(F$34/F46)</f>
        <v>542473.10416666674</v>
      </c>
      <c r="G49" s="13">
        <f>G$37*(G$34/G46)</f>
        <v>542709.82291666674</v>
      </c>
      <c r="H49" s="13"/>
      <c r="I49" s="13"/>
      <c r="J49" s="13"/>
      <c r="K49" s="13"/>
    </row>
    <row r="50" spans="1:11" x14ac:dyDescent="0.4">
      <c r="A50" s="12"/>
      <c r="B50" s="13" t="s">
        <v>56</v>
      </c>
      <c r="C50" s="13" t="s">
        <v>21</v>
      </c>
      <c r="D50" s="13" t="s">
        <v>58</v>
      </c>
      <c r="E50" s="15">
        <f>E$38</f>
        <v>12948</v>
      </c>
      <c r="F50" s="15">
        <f>F$38</f>
        <v>12460</v>
      </c>
      <c r="G50" s="15">
        <f>G$38</f>
        <v>12436</v>
      </c>
      <c r="H50" s="13"/>
      <c r="I50" s="13"/>
      <c r="J50" s="13"/>
      <c r="K50" s="13"/>
    </row>
    <row r="51" spans="1:11" x14ac:dyDescent="0.4">
      <c r="A51" s="12"/>
      <c r="B51" s="13" t="s">
        <v>59</v>
      </c>
      <c r="C51" s="13" t="s">
        <v>21</v>
      </c>
      <c r="D51" s="13" t="s">
        <v>60</v>
      </c>
      <c r="E51" s="15">
        <f>E$39</f>
        <v>88428</v>
      </c>
      <c r="F51" s="15">
        <f>F$39</f>
        <v>76942</v>
      </c>
      <c r="G51" s="15">
        <f>G$39</f>
        <v>74933</v>
      </c>
      <c r="H51" s="13"/>
      <c r="I51" s="13"/>
      <c r="J51" s="13"/>
      <c r="K51" s="13"/>
    </row>
    <row r="52" spans="1:11" x14ac:dyDescent="0.4">
      <c r="A52" s="12"/>
      <c r="B52" s="13" t="s">
        <v>43</v>
      </c>
      <c r="C52" s="13" t="s">
        <v>21</v>
      </c>
      <c r="D52" s="13" t="s">
        <v>61</v>
      </c>
      <c r="E52" s="13">
        <f>SUM(E49:E51)</f>
        <v>634180.45833333337</v>
      </c>
      <c r="F52" s="13">
        <f>SUM(F49:F51)</f>
        <v>631875.10416666674</v>
      </c>
      <c r="G52" s="13">
        <f>SUM(G49:G51)</f>
        <v>630078.82291666674</v>
      </c>
      <c r="H52" s="13"/>
      <c r="I52" s="13"/>
      <c r="J52" s="13"/>
      <c r="K52" s="13"/>
    </row>
    <row r="53" spans="1:11" x14ac:dyDescent="0.4">
      <c r="A53" s="12"/>
      <c r="B53" s="13" t="s">
        <v>93</v>
      </c>
      <c r="C53" s="13" t="s">
        <v>21</v>
      </c>
      <c r="D53" s="13" t="s">
        <v>62</v>
      </c>
      <c r="E53" s="13">
        <f>E$32*E48*E52</f>
        <v>118262911396.60495</v>
      </c>
      <c r="F53" s="13">
        <f>F$32*F48*F52</f>
        <v>117833005536.26546</v>
      </c>
      <c r="G53" s="13">
        <f>G$32*G48*G52</f>
        <v>117498032347.60805</v>
      </c>
      <c r="H53" s="13"/>
      <c r="I53" s="13"/>
      <c r="J53" s="13"/>
      <c r="K53" s="13"/>
    </row>
    <row r="54" spans="1:11" x14ac:dyDescent="0.4">
      <c r="A54" s="12"/>
      <c r="B54" s="13" t="s">
        <v>94</v>
      </c>
      <c r="C54" s="13" t="s">
        <v>21</v>
      </c>
      <c r="D54" s="13" t="s">
        <v>95</v>
      </c>
      <c r="E54" s="16">
        <f>E53/3600000000</f>
        <v>32.850808721279151</v>
      </c>
      <c r="F54" s="16">
        <f>F53/3600000000</f>
        <v>32.731390426740404</v>
      </c>
      <c r="G54" s="16">
        <f>G53/3600000000</f>
        <v>32.638342318780012</v>
      </c>
      <c r="H54" s="13"/>
      <c r="I54" s="13"/>
      <c r="J54" s="13"/>
      <c r="K54" s="13"/>
    </row>
    <row r="55" spans="1:11" x14ac:dyDescent="0.4">
      <c r="A55" s="12"/>
      <c r="B55" s="13" t="s">
        <v>44</v>
      </c>
      <c r="C55" s="13" t="s">
        <v>80</v>
      </c>
      <c r="D55" s="13"/>
      <c r="E55" s="13">
        <v>0.77</v>
      </c>
      <c r="F55" s="13">
        <v>0.77</v>
      </c>
      <c r="G55" s="13">
        <v>0.77</v>
      </c>
      <c r="H55" s="13">
        <v>0.77</v>
      </c>
      <c r="I55" s="13">
        <v>0.77</v>
      </c>
      <c r="J55" s="13">
        <v>0.77</v>
      </c>
      <c r="K55" s="13">
        <v>0.77</v>
      </c>
    </row>
    <row r="56" spans="1:11" x14ac:dyDescent="0.4">
      <c r="A56" s="17"/>
      <c r="B56" s="17" t="s">
        <v>45</v>
      </c>
      <c r="C56" s="17" t="s">
        <v>21</v>
      </c>
      <c r="D56" s="17" t="s">
        <v>63</v>
      </c>
      <c r="E56" s="18">
        <f>E54*E55</f>
        <v>25.295122715384945</v>
      </c>
      <c r="F56" s="18">
        <f t="shared" ref="F56:K56" si="3">F54*F55</f>
        <v>25.203170628590112</v>
      </c>
      <c r="G56" s="18">
        <f t="shared" si="3"/>
        <v>25.131523585460609</v>
      </c>
      <c r="H56" s="18">
        <f t="shared" si="3"/>
        <v>0</v>
      </c>
      <c r="I56" s="18">
        <f t="shared" si="3"/>
        <v>0</v>
      </c>
      <c r="J56" s="18">
        <f t="shared" si="3"/>
        <v>0</v>
      </c>
      <c r="K56" s="18">
        <f t="shared" si="3"/>
        <v>0</v>
      </c>
    </row>
    <row r="57" spans="1:11" x14ac:dyDescent="0.4">
      <c r="A57" s="10" t="s">
        <v>91</v>
      </c>
      <c r="B57" s="11" t="s">
        <v>38</v>
      </c>
      <c r="C57" s="11" t="s">
        <v>80</v>
      </c>
      <c r="D57" s="11" t="s">
        <v>97</v>
      </c>
      <c r="E57" s="11">
        <v>96</v>
      </c>
      <c r="F57" s="11">
        <v>96</v>
      </c>
      <c r="G57" s="11">
        <v>96</v>
      </c>
      <c r="H57" s="11">
        <v>96</v>
      </c>
      <c r="I57" s="11">
        <v>96</v>
      </c>
      <c r="J57" s="11">
        <v>96</v>
      </c>
      <c r="K57" s="11">
        <v>96</v>
      </c>
    </row>
    <row r="58" spans="1:11" x14ac:dyDescent="0.4">
      <c r="A58" s="12"/>
      <c r="B58" s="13" t="s">
        <v>39</v>
      </c>
      <c r="C58" s="14" t="s">
        <v>101</v>
      </c>
      <c r="D58" s="13" t="s">
        <v>98</v>
      </c>
      <c r="E58" s="13">
        <v>1.8</v>
      </c>
      <c r="F58" s="13">
        <v>1.8</v>
      </c>
      <c r="G58" s="13">
        <v>1.8</v>
      </c>
      <c r="H58" s="13">
        <v>1.8</v>
      </c>
      <c r="I58" s="13">
        <v>1.8</v>
      </c>
      <c r="J58" s="13">
        <v>1.8</v>
      </c>
      <c r="K58" s="13">
        <v>1.8</v>
      </c>
    </row>
    <row r="59" spans="1:11" x14ac:dyDescent="0.4">
      <c r="A59" s="12"/>
      <c r="B59" s="13" t="s">
        <v>41</v>
      </c>
      <c r="C59" s="13" t="s">
        <v>21</v>
      </c>
      <c r="D59" s="13" t="s">
        <v>52</v>
      </c>
      <c r="E59" s="13">
        <f>E$35*(E57/E$33)</f>
        <v>108</v>
      </c>
      <c r="F59" s="13">
        <f>F$35*(F57/F$33)</f>
        <v>108</v>
      </c>
      <c r="G59" s="13">
        <f>G$35*(G57/G$33)</f>
        <v>108</v>
      </c>
      <c r="H59" s="13"/>
      <c r="I59" s="13"/>
      <c r="J59" s="13"/>
      <c r="K59" s="13"/>
    </row>
    <row r="60" spans="1:11" x14ac:dyDescent="0.4">
      <c r="A60" s="12"/>
      <c r="B60" s="13" t="s">
        <v>42</v>
      </c>
      <c r="C60" s="13" t="s">
        <v>21</v>
      </c>
      <c r="D60" s="13" t="s">
        <v>53</v>
      </c>
      <c r="E60" s="13">
        <f>IF(E59="","",E$31/E59)</f>
        <v>932.40740740740739</v>
      </c>
      <c r="F60" s="13">
        <f>IF(F59="","",F$31/F59)</f>
        <v>932.40740740740739</v>
      </c>
      <c r="G60" s="13">
        <f>IF(G59="","",G$31/G59)</f>
        <v>932.40740740740739</v>
      </c>
      <c r="H60" s="13"/>
      <c r="I60" s="13"/>
      <c r="J60" s="13"/>
      <c r="K60" s="13"/>
    </row>
    <row r="61" spans="1:11" x14ac:dyDescent="0.4">
      <c r="A61" s="12"/>
      <c r="B61" s="13" t="s">
        <v>54</v>
      </c>
      <c r="C61" s="13" t="s">
        <v>21</v>
      </c>
      <c r="D61" s="13" t="s">
        <v>55</v>
      </c>
      <c r="E61" s="13">
        <f>E$37*(E$34/E58)</f>
        <v>284162.37777777779</v>
      </c>
      <c r="F61" s="13">
        <f>F$37*(F$34/F58)</f>
        <v>289318.98888888891</v>
      </c>
      <c r="G61" s="13">
        <f>G$37*(G$34/G58)</f>
        <v>289445.23888888891</v>
      </c>
      <c r="H61" s="13"/>
      <c r="I61" s="13"/>
      <c r="J61" s="13"/>
      <c r="K61" s="13"/>
    </row>
    <row r="62" spans="1:11" x14ac:dyDescent="0.4">
      <c r="A62" s="12"/>
      <c r="B62" s="13" t="s">
        <v>56</v>
      </c>
      <c r="C62" s="13" t="s">
        <v>21</v>
      </c>
      <c r="D62" s="13" t="s">
        <v>58</v>
      </c>
      <c r="E62" s="15">
        <f>E$38</f>
        <v>12948</v>
      </c>
      <c r="F62" s="15">
        <f>F$38</f>
        <v>12460</v>
      </c>
      <c r="G62" s="15">
        <f>G$38</f>
        <v>12436</v>
      </c>
      <c r="H62" s="13"/>
      <c r="I62" s="13"/>
      <c r="J62" s="13"/>
      <c r="K62" s="13"/>
    </row>
    <row r="63" spans="1:11" x14ac:dyDescent="0.4">
      <c r="A63" s="12"/>
      <c r="B63" s="13" t="s">
        <v>59</v>
      </c>
      <c r="C63" s="13" t="s">
        <v>21</v>
      </c>
      <c r="D63" s="13" t="s">
        <v>60</v>
      </c>
      <c r="E63" s="15">
        <f>E$39</f>
        <v>88428</v>
      </c>
      <c r="F63" s="15">
        <f>F$39</f>
        <v>76942</v>
      </c>
      <c r="G63" s="15">
        <f>G$39</f>
        <v>74933</v>
      </c>
      <c r="H63" s="13"/>
      <c r="I63" s="13"/>
      <c r="J63" s="13"/>
      <c r="K63" s="13"/>
    </row>
    <row r="64" spans="1:11" x14ac:dyDescent="0.4">
      <c r="A64" s="12"/>
      <c r="B64" s="13" t="s">
        <v>43</v>
      </c>
      <c r="C64" s="13" t="s">
        <v>21</v>
      </c>
      <c r="D64" s="13" t="s">
        <v>61</v>
      </c>
      <c r="E64" s="13">
        <f>SUM(E61:E63)</f>
        <v>385538.37777777779</v>
      </c>
      <c r="F64" s="13">
        <f>SUM(F61:F63)</f>
        <v>378720.98888888891</v>
      </c>
      <c r="G64" s="13">
        <f>SUM(G61:G63)</f>
        <v>376814.23888888891</v>
      </c>
      <c r="H64" s="13"/>
      <c r="I64" s="13"/>
      <c r="J64" s="13"/>
      <c r="K64" s="13"/>
    </row>
    <row r="65" spans="1:11" x14ac:dyDescent="0.4">
      <c r="A65" s="12"/>
      <c r="B65" s="13" t="s">
        <v>93</v>
      </c>
      <c r="C65" s="13" t="s">
        <v>21</v>
      </c>
      <c r="D65" s="13" t="s">
        <v>62</v>
      </c>
      <c r="E65" s="13">
        <f>E$32*E60*E64</f>
        <v>35947883927.983543</v>
      </c>
      <c r="F65" s="13">
        <f>F$32*F60*F64</f>
        <v>35312225538.065849</v>
      </c>
      <c r="G65" s="13">
        <f>G$32*G60*G64</f>
        <v>35134438755.65844</v>
      </c>
      <c r="H65" s="13"/>
      <c r="I65" s="13"/>
      <c r="J65" s="13"/>
      <c r="K65" s="13"/>
    </row>
    <row r="66" spans="1:11" x14ac:dyDescent="0.4">
      <c r="A66" s="12"/>
      <c r="B66" s="13" t="s">
        <v>94</v>
      </c>
      <c r="C66" s="13" t="s">
        <v>21</v>
      </c>
      <c r="D66" s="13" t="s">
        <v>95</v>
      </c>
      <c r="E66" s="16">
        <f>E65/3600000000</f>
        <v>9.9855233133287626</v>
      </c>
      <c r="F66" s="16">
        <f>F65/3600000000</f>
        <v>9.808951538351625</v>
      </c>
      <c r="G66" s="16">
        <f>G65/3600000000</f>
        <v>9.7595663210162336</v>
      </c>
      <c r="H66" s="13"/>
      <c r="I66" s="13"/>
      <c r="J66" s="13"/>
      <c r="K66" s="13"/>
    </row>
    <row r="67" spans="1:11" x14ac:dyDescent="0.4">
      <c r="A67" s="12"/>
      <c r="B67" s="13" t="s">
        <v>44</v>
      </c>
      <c r="C67" s="13" t="s">
        <v>80</v>
      </c>
      <c r="D67" s="13"/>
      <c r="E67" s="13">
        <v>1.99</v>
      </c>
      <c r="F67" s="13">
        <v>1.99</v>
      </c>
      <c r="G67" s="13">
        <v>1.99</v>
      </c>
      <c r="H67" s="13">
        <v>1.99</v>
      </c>
      <c r="I67" s="13">
        <v>1.99</v>
      </c>
      <c r="J67" s="13">
        <v>1.99</v>
      </c>
      <c r="K67" s="13">
        <v>1.99</v>
      </c>
    </row>
    <row r="68" spans="1:11" x14ac:dyDescent="0.4">
      <c r="A68" s="17"/>
      <c r="B68" s="17" t="s">
        <v>45</v>
      </c>
      <c r="C68" s="17" t="s">
        <v>21</v>
      </c>
      <c r="D68" s="17" t="s">
        <v>63</v>
      </c>
      <c r="E68" s="18">
        <f>E66*E67</f>
        <v>19.871191393524239</v>
      </c>
      <c r="F68" s="18">
        <f t="shared" ref="F68:K68" si="4">F66*F67</f>
        <v>19.519813561319733</v>
      </c>
      <c r="G68" s="18">
        <f t="shared" si="4"/>
        <v>19.421536978822306</v>
      </c>
      <c r="H68" s="18">
        <f t="shared" si="4"/>
        <v>0</v>
      </c>
      <c r="I68" s="18">
        <f t="shared" si="4"/>
        <v>0</v>
      </c>
      <c r="J68" s="18">
        <f t="shared" si="4"/>
        <v>0</v>
      </c>
      <c r="K68" s="18">
        <f t="shared" si="4"/>
        <v>0</v>
      </c>
    </row>
    <row r="69" spans="1:11" x14ac:dyDescent="0.4">
      <c r="A69" s="10" t="s">
        <v>92</v>
      </c>
      <c r="B69" s="11" t="s">
        <v>38</v>
      </c>
      <c r="C69" s="11" t="s">
        <v>80</v>
      </c>
      <c r="D69" s="11" t="s">
        <v>97</v>
      </c>
      <c r="E69" s="11">
        <v>80</v>
      </c>
      <c r="F69" s="11">
        <v>80</v>
      </c>
      <c r="G69" s="11">
        <v>80</v>
      </c>
      <c r="H69" s="11">
        <v>80</v>
      </c>
      <c r="I69" s="11">
        <v>80</v>
      </c>
      <c r="J69" s="11">
        <v>80</v>
      </c>
      <c r="K69" s="11">
        <v>80</v>
      </c>
    </row>
    <row r="70" spans="1:11" x14ac:dyDescent="0.4">
      <c r="A70" s="12"/>
      <c r="B70" s="13" t="s">
        <v>39</v>
      </c>
      <c r="C70" s="14" t="s">
        <v>100</v>
      </c>
      <c r="D70" s="13" t="s">
        <v>98</v>
      </c>
      <c r="E70" s="13">
        <v>3.3</v>
      </c>
      <c r="F70" s="13">
        <v>3.3</v>
      </c>
      <c r="G70" s="13">
        <v>3.3</v>
      </c>
      <c r="H70" s="13">
        <v>3.3</v>
      </c>
      <c r="I70" s="13">
        <v>3.3</v>
      </c>
      <c r="J70" s="13">
        <v>3.3</v>
      </c>
      <c r="K70" s="13">
        <v>3.3</v>
      </c>
    </row>
    <row r="71" spans="1:11" x14ac:dyDescent="0.4">
      <c r="A71" s="12"/>
      <c r="B71" s="13" t="s">
        <v>41</v>
      </c>
      <c r="C71" s="13" t="s">
        <v>21</v>
      </c>
      <c r="D71" s="13" t="s">
        <v>52</v>
      </c>
      <c r="E71" s="13">
        <f>E$35*(E69/E$33)</f>
        <v>90</v>
      </c>
      <c r="F71" s="13">
        <f>F$35*(F69/F$33)</f>
        <v>90</v>
      </c>
      <c r="G71" s="13">
        <f>G$35*(G69/G$33)</f>
        <v>90</v>
      </c>
      <c r="H71" s="13"/>
      <c r="I71" s="13"/>
      <c r="J71" s="13"/>
      <c r="K71" s="13"/>
    </row>
    <row r="72" spans="1:11" x14ac:dyDescent="0.4">
      <c r="A72" s="12"/>
      <c r="B72" s="13" t="s">
        <v>42</v>
      </c>
      <c r="C72" s="13" t="s">
        <v>21</v>
      </c>
      <c r="D72" s="13" t="s">
        <v>53</v>
      </c>
      <c r="E72" s="13">
        <f>IF(E71="","",E$31/E71)</f>
        <v>1118.8888888888889</v>
      </c>
      <c r="F72" s="13">
        <f>IF(F71="","",F$31/F71)</f>
        <v>1118.8888888888889</v>
      </c>
      <c r="G72" s="13">
        <f>IF(G71="","",G$31/G71)</f>
        <v>1118.8888888888889</v>
      </c>
      <c r="H72" s="13"/>
      <c r="I72" s="13"/>
      <c r="J72" s="13"/>
      <c r="K72" s="13"/>
    </row>
    <row r="73" spans="1:11" x14ac:dyDescent="0.4">
      <c r="A73" s="12"/>
      <c r="B73" s="13" t="s">
        <v>54</v>
      </c>
      <c r="C73" s="13" t="s">
        <v>21</v>
      </c>
      <c r="D73" s="13" t="s">
        <v>55</v>
      </c>
      <c r="E73" s="13">
        <f>E$37*(E$34/E70)</f>
        <v>154997.66060606061</v>
      </c>
      <c r="F73" s="13">
        <f>F$37*(F$34/F70)</f>
        <v>157810.3575757576</v>
      </c>
      <c r="G73" s="13">
        <f>G$37*(G$34/G70)</f>
        <v>157879.22121212122</v>
      </c>
      <c r="H73" s="13"/>
      <c r="I73" s="13"/>
      <c r="J73" s="13"/>
      <c r="K73" s="13"/>
    </row>
    <row r="74" spans="1:11" x14ac:dyDescent="0.4">
      <c r="A74" s="12"/>
      <c r="B74" s="13" t="s">
        <v>56</v>
      </c>
      <c r="C74" s="13" t="s">
        <v>21</v>
      </c>
      <c r="D74" s="13" t="s">
        <v>58</v>
      </c>
      <c r="E74" s="15">
        <f>E$38</f>
        <v>12948</v>
      </c>
      <c r="F74" s="15">
        <f>F$38</f>
        <v>12460</v>
      </c>
      <c r="G74" s="15">
        <f>G$38</f>
        <v>12436</v>
      </c>
      <c r="H74" s="13"/>
      <c r="I74" s="13"/>
      <c r="J74" s="13"/>
      <c r="K74" s="13"/>
    </row>
    <row r="75" spans="1:11" x14ac:dyDescent="0.4">
      <c r="A75" s="12"/>
      <c r="B75" s="13" t="s">
        <v>59</v>
      </c>
      <c r="C75" s="13" t="s">
        <v>21</v>
      </c>
      <c r="D75" s="13" t="s">
        <v>60</v>
      </c>
      <c r="E75" s="15">
        <f>E$39</f>
        <v>88428</v>
      </c>
      <c r="F75" s="15">
        <f>F$39</f>
        <v>76942</v>
      </c>
      <c r="G75" s="15">
        <f>G$39</f>
        <v>74933</v>
      </c>
      <c r="H75" s="13"/>
      <c r="I75" s="13"/>
      <c r="J75" s="13"/>
      <c r="K75" s="13"/>
    </row>
    <row r="76" spans="1:11" x14ac:dyDescent="0.4">
      <c r="A76" s="12"/>
      <c r="B76" s="13" t="s">
        <v>43</v>
      </c>
      <c r="C76" s="13" t="s">
        <v>21</v>
      </c>
      <c r="D76" s="13" t="s">
        <v>61</v>
      </c>
      <c r="E76" s="13">
        <f>SUM(E73:E75)</f>
        <v>256373.66060606061</v>
      </c>
      <c r="F76" s="13">
        <f>SUM(F73:F75)</f>
        <v>247212.3575757576</v>
      </c>
      <c r="G76" s="13">
        <f>SUM(G73:G75)</f>
        <v>245248.22121212122</v>
      </c>
      <c r="H76" s="13"/>
      <c r="I76" s="13"/>
      <c r="J76" s="13"/>
      <c r="K76" s="13"/>
    </row>
    <row r="77" spans="1:11" x14ac:dyDescent="0.4">
      <c r="A77" s="12"/>
      <c r="B77" s="13" t="s">
        <v>93</v>
      </c>
      <c r="C77" s="13" t="s">
        <v>21</v>
      </c>
      <c r="D77" s="13" t="s">
        <v>62</v>
      </c>
      <c r="E77" s="13">
        <f>E$32*E72*E76</f>
        <v>28685364025.589226</v>
      </c>
      <c r="F77" s="13">
        <f>F$32*F72*F76</f>
        <v>27660316008.754211</v>
      </c>
      <c r="G77" s="13">
        <f>G$32*G72*G76</f>
        <v>27440550973.400677</v>
      </c>
      <c r="H77" s="13"/>
      <c r="I77" s="13"/>
      <c r="J77" s="13"/>
      <c r="K77" s="13"/>
    </row>
    <row r="78" spans="1:11" x14ac:dyDescent="0.4">
      <c r="A78" s="12"/>
      <c r="B78" s="13" t="s">
        <v>94</v>
      </c>
      <c r="C78" s="13" t="s">
        <v>21</v>
      </c>
      <c r="D78" s="13" t="s">
        <v>95</v>
      </c>
      <c r="E78" s="16">
        <f>E77/3600000000</f>
        <v>7.9681566737747849</v>
      </c>
      <c r="F78" s="16">
        <f>F77/3600000000</f>
        <v>7.6834211135428365</v>
      </c>
      <c r="G78" s="16">
        <f>G77/3600000000</f>
        <v>7.6223752703890773</v>
      </c>
      <c r="H78" s="13"/>
      <c r="I78" s="13"/>
      <c r="J78" s="13"/>
      <c r="K78" s="13"/>
    </row>
    <row r="79" spans="1:11" x14ac:dyDescent="0.4">
      <c r="A79" s="12"/>
      <c r="B79" s="13" t="s">
        <v>44</v>
      </c>
      <c r="C79" s="13" t="s">
        <v>80</v>
      </c>
      <c r="D79" s="13"/>
      <c r="E79" s="13">
        <v>2.99</v>
      </c>
      <c r="F79" s="13">
        <v>2.99</v>
      </c>
      <c r="G79" s="13">
        <v>2.99</v>
      </c>
      <c r="H79" s="13">
        <v>2.99</v>
      </c>
      <c r="I79" s="13">
        <v>2.99</v>
      </c>
      <c r="J79" s="13">
        <v>2.99</v>
      </c>
      <c r="K79" s="13">
        <v>2.99</v>
      </c>
    </row>
    <row r="80" spans="1:11" x14ac:dyDescent="0.4">
      <c r="A80" s="17"/>
      <c r="B80" s="17" t="s">
        <v>45</v>
      </c>
      <c r="C80" s="17" t="s">
        <v>21</v>
      </c>
      <c r="D80" s="17" t="s">
        <v>63</v>
      </c>
      <c r="E80" s="18">
        <f>E78*E79</f>
        <v>23.82478845458661</v>
      </c>
      <c r="F80" s="18">
        <f t="shared" ref="F80:K80" si="5">F78*F79</f>
        <v>22.973429129493084</v>
      </c>
      <c r="G80" s="18">
        <f t="shared" si="5"/>
        <v>22.790902058463342</v>
      </c>
      <c r="H80" s="18">
        <f t="shared" si="5"/>
        <v>0</v>
      </c>
      <c r="I80" s="18">
        <f t="shared" si="5"/>
        <v>0</v>
      </c>
      <c r="J80" s="18">
        <f t="shared" si="5"/>
        <v>0</v>
      </c>
      <c r="K80" s="18">
        <f t="shared" si="5"/>
        <v>0</v>
      </c>
    </row>
    <row r="81" spans="1:11" x14ac:dyDescent="0.4">
      <c r="A81" s="10" t="s">
        <v>46</v>
      </c>
      <c r="B81" s="11" t="s">
        <v>38</v>
      </c>
      <c r="C81" s="11" t="s">
        <v>80</v>
      </c>
      <c r="D81" s="11" t="s">
        <v>97</v>
      </c>
      <c r="E81" s="11">
        <v>180</v>
      </c>
      <c r="F81" s="11">
        <v>180</v>
      </c>
      <c r="G81" s="11">
        <v>180</v>
      </c>
      <c r="H81" s="11">
        <v>180</v>
      </c>
      <c r="I81" s="11">
        <v>180</v>
      </c>
      <c r="J81" s="11">
        <v>180</v>
      </c>
      <c r="K81" s="11">
        <v>180</v>
      </c>
    </row>
    <row r="82" spans="1:11" x14ac:dyDescent="0.4">
      <c r="A82" s="13"/>
      <c r="B82" s="13" t="s">
        <v>39</v>
      </c>
      <c r="C82" s="14" t="s">
        <v>99</v>
      </c>
      <c r="D82" s="13" t="s">
        <v>98</v>
      </c>
      <c r="E82" s="13">
        <v>8</v>
      </c>
      <c r="F82" s="13">
        <v>8</v>
      </c>
      <c r="G82" s="13">
        <v>8</v>
      </c>
      <c r="H82" s="13">
        <v>8</v>
      </c>
      <c r="I82" s="13">
        <v>8</v>
      </c>
      <c r="J82" s="13">
        <v>8</v>
      </c>
      <c r="K82" s="13">
        <v>8</v>
      </c>
    </row>
    <row r="83" spans="1:11" x14ac:dyDescent="0.4">
      <c r="A83" s="13"/>
      <c r="B83" s="13" t="s">
        <v>41</v>
      </c>
      <c r="C83" s="13" t="s">
        <v>21</v>
      </c>
      <c r="D83" s="13" t="s">
        <v>52</v>
      </c>
      <c r="E83" s="13">
        <f>E$35*(E81/E$33)</f>
        <v>202.5</v>
      </c>
      <c r="F83" s="13">
        <f>F$35*(F81/F$33)</f>
        <v>202.5</v>
      </c>
      <c r="G83" s="13">
        <f>G$35*(G81/G$33)</f>
        <v>202.5</v>
      </c>
      <c r="H83" s="13"/>
      <c r="I83" s="13"/>
      <c r="J83" s="13"/>
      <c r="K83" s="13"/>
    </row>
    <row r="84" spans="1:11" x14ac:dyDescent="0.4">
      <c r="A84" s="13"/>
      <c r="B84" s="13" t="s">
        <v>42</v>
      </c>
      <c r="C84" s="13" t="s">
        <v>21</v>
      </c>
      <c r="D84" s="13" t="s">
        <v>53</v>
      </c>
      <c r="E84" s="13">
        <f>IF(E83="","",E$31/E83)</f>
        <v>497.28395061728395</v>
      </c>
      <c r="F84" s="13">
        <f>IF(F83="","",F$31/F83)</f>
        <v>497.28395061728395</v>
      </c>
      <c r="G84" s="13">
        <f>IF(G83="","",G$31/G83)</f>
        <v>497.28395061728395</v>
      </c>
      <c r="H84" s="13"/>
      <c r="I84" s="13"/>
      <c r="J84" s="13"/>
      <c r="K84" s="13"/>
    </row>
    <row r="85" spans="1:11" x14ac:dyDescent="0.4">
      <c r="A85" s="13"/>
      <c r="B85" s="13" t="s">
        <v>54</v>
      </c>
      <c r="C85" s="13" t="s">
        <v>21</v>
      </c>
      <c r="D85" s="13" t="s">
        <v>55</v>
      </c>
      <c r="E85" s="13">
        <f>E$37*(E$34/E82)</f>
        <v>63936.535000000003</v>
      </c>
      <c r="F85" s="13">
        <f>F$37*(F$34/F82)</f>
        <v>65096.772499999999</v>
      </c>
      <c r="G85" s="13">
        <f>G$37*(G$34/G82)</f>
        <v>65125.178749999999</v>
      </c>
      <c r="H85" s="13"/>
      <c r="I85" s="13"/>
      <c r="J85" s="13"/>
      <c r="K85" s="13"/>
    </row>
    <row r="86" spans="1:11" x14ac:dyDescent="0.4">
      <c r="A86" s="13"/>
      <c r="B86" s="13" t="s">
        <v>56</v>
      </c>
      <c r="C86" s="13" t="s">
        <v>21</v>
      </c>
      <c r="D86" s="13" t="s">
        <v>58</v>
      </c>
      <c r="E86" s="15">
        <f>E$38</f>
        <v>12948</v>
      </c>
      <c r="F86" s="15">
        <f>F$38</f>
        <v>12460</v>
      </c>
      <c r="G86" s="15">
        <f>G$38</f>
        <v>12436</v>
      </c>
      <c r="H86" s="13"/>
      <c r="I86" s="13"/>
      <c r="J86" s="13"/>
      <c r="K86" s="13"/>
    </row>
    <row r="87" spans="1:11" x14ac:dyDescent="0.4">
      <c r="A87" s="13"/>
      <c r="B87" s="13" t="s">
        <v>59</v>
      </c>
      <c r="C87" s="13" t="s">
        <v>21</v>
      </c>
      <c r="D87" s="13" t="s">
        <v>60</v>
      </c>
      <c r="E87" s="15">
        <f>E$39</f>
        <v>88428</v>
      </c>
      <c r="F87" s="15">
        <f>F$39</f>
        <v>76942</v>
      </c>
      <c r="G87" s="15">
        <f>G$39</f>
        <v>74933</v>
      </c>
      <c r="H87" s="13"/>
      <c r="I87" s="13"/>
      <c r="J87" s="13"/>
      <c r="K87" s="13"/>
    </row>
    <row r="88" spans="1:11" x14ac:dyDescent="0.4">
      <c r="A88" s="13"/>
      <c r="B88" s="13" t="s">
        <v>43</v>
      </c>
      <c r="C88" s="13" t="s">
        <v>21</v>
      </c>
      <c r="D88" s="13" t="s">
        <v>61</v>
      </c>
      <c r="E88" s="13">
        <f>SUM(E85:E87)</f>
        <v>165312.535</v>
      </c>
      <c r="F88" s="13">
        <f>SUM(F85:F87)</f>
        <v>154498.77249999999</v>
      </c>
      <c r="G88" s="13">
        <f>SUM(G85:G87)</f>
        <v>152494.17874999999</v>
      </c>
      <c r="H88" s="13"/>
      <c r="I88" s="13"/>
      <c r="J88" s="13"/>
      <c r="K88" s="13"/>
    </row>
    <row r="89" spans="1:11" x14ac:dyDescent="0.4">
      <c r="A89" s="13"/>
      <c r="B89" s="13" t="s">
        <v>93</v>
      </c>
      <c r="C89" s="13" t="s">
        <v>21</v>
      </c>
      <c r="D89" s="13" t="s">
        <v>62</v>
      </c>
      <c r="E89" s="13">
        <f>E$32*E84*E88</f>
        <v>8220727049.1358023</v>
      </c>
      <c r="F89" s="13">
        <f>F$32*F84*F88</f>
        <v>7682975995.4320974</v>
      </c>
      <c r="G89" s="13">
        <f>G$32*G84*G88</f>
        <v>7583290765.4938259</v>
      </c>
      <c r="H89" s="13"/>
      <c r="I89" s="13"/>
      <c r="J89" s="13"/>
      <c r="K89" s="13"/>
    </row>
    <row r="90" spans="1:11" x14ac:dyDescent="0.4">
      <c r="A90" s="13"/>
      <c r="B90" s="13" t="s">
        <v>94</v>
      </c>
      <c r="C90" s="13" t="s">
        <v>21</v>
      </c>
      <c r="D90" s="13" t="s">
        <v>95</v>
      </c>
      <c r="E90" s="16">
        <f>E89/3600000000</f>
        <v>2.2835352914266118</v>
      </c>
      <c r="F90" s="16">
        <f>F89/3600000000</f>
        <v>2.1341599987311382</v>
      </c>
      <c r="G90" s="16">
        <f>G89/3600000000</f>
        <v>2.1064696570816182</v>
      </c>
      <c r="H90" s="13"/>
      <c r="I90" s="13"/>
      <c r="J90" s="13"/>
      <c r="K90" s="13"/>
    </row>
    <row r="91" spans="1:11" x14ac:dyDescent="0.4">
      <c r="A91" s="13"/>
      <c r="B91" s="13" t="s">
        <v>44</v>
      </c>
      <c r="C91" s="13" t="s">
        <v>80</v>
      </c>
      <c r="D91" s="13"/>
      <c r="E91" s="13">
        <v>5.89</v>
      </c>
      <c r="F91" s="13">
        <v>5.89</v>
      </c>
      <c r="G91" s="13">
        <v>5.89</v>
      </c>
      <c r="H91" s="13">
        <v>5.89</v>
      </c>
      <c r="I91" s="13">
        <v>5.89</v>
      </c>
      <c r="J91" s="13">
        <v>5.89</v>
      </c>
      <c r="K91" s="13">
        <v>5.89</v>
      </c>
    </row>
    <row r="92" spans="1:11" x14ac:dyDescent="0.4">
      <c r="A92" s="19"/>
      <c r="B92" s="17" t="s">
        <v>45</v>
      </c>
      <c r="C92" s="17" t="s">
        <v>21</v>
      </c>
      <c r="D92" s="17" t="s">
        <v>63</v>
      </c>
      <c r="E92" s="18">
        <f>E90*E91</f>
        <v>13.450022866502742</v>
      </c>
      <c r="F92" s="18">
        <f t="shared" ref="F92:K92" si="6">F90*F91</f>
        <v>12.570202392526403</v>
      </c>
      <c r="G92" s="18">
        <f t="shared" si="6"/>
        <v>12.40710628021073</v>
      </c>
      <c r="H92" s="18">
        <f t="shared" si="6"/>
        <v>0</v>
      </c>
      <c r="I92" s="18">
        <f t="shared" si="6"/>
        <v>0</v>
      </c>
      <c r="J92" s="18">
        <f t="shared" si="6"/>
        <v>0</v>
      </c>
      <c r="K92" s="18">
        <f t="shared" si="6"/>
        <v>0</v>
      </c>
    </row>
  </sheetData>
  <hyperlinks>
    <hyperlink ref="C82" r:id="rId1" xr:uid="{0D554E30-EE5F-42F4-A138-A1908E21A4BB}"/>
    <hyperlink ref="C70" r:id="rId2" xr:uid="{71577115-06BE-4208-9FAC-292A96FFC20E}"/>
    <hyperlink ref="C58" r:id="rId3" xr:uid="{637E8CC2-5B22-420C-B4B6-2D1C3BBA96FA}"/>
    <hyperlink ref="C46" r:id="rId4" xr:uid="{19F9B5A0-67BE-424C-AAA9-EF7096EBF0C9}"/>
    <hyperlink ref="C34" r:id="rId5" xr:uid="{566E6DD7-35AB-454B-B265-6191FA3E982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Taylor-Wilmshurst</dc:creator>
  <cp:lastModifiedBy>Sam Taylor-Wilmshurst</cp:lastModifiedBy>
  <dcterms:created xsi:type="dcterms:W3CDTF">2026-07-20T21:44:17Z</dcterms:created>
  <dcterms:modified xsi:type="dcterms:W3CDTF">2026-07-21T02:44:14Z</dcterms:modified>
</cp:coreProperties>
</file>