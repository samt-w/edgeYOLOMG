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ta\programming\python\yolomg-stw\"/>
    </mc:Choice>
  </mc:AlternateContent>
  <xr:revisionPtr revIDLastSave="0" documentId="13_ncr:1_{6B8DE529-B3CB-468C-A857-A1C27769AEBB}" xr6:coauthVersionLast="47" xr6:coauthVersionMax="47" xr10:uidLastSave="{00000000-0000-0000-0000-000000000000}"/>
  <bookViews>
    <workbookView xWindow="-103" yWindow="-103" windowWidth="22149" windowHeight="13200" xr2:uid="{0E0F7E5E-85CE-4CEF-BB80-A4BFDD82C8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7" i="1" l="1"/>
  <c r="L41" i="1"/>
  <c r="L40" i="1"/>
  <c r="L39" i="1"/>
  <c r="L38" i="1"/>
  <c r="L36" i="1"/>
  <c r="L17" i="1"/>
  <c r="I38" i="1"/>
  <c r="J38" i="1"/>
  <c r="K38" i="1"/>
  <c r="I39" i="1"/>
  <c r="J39" i="1"/>
  <c r="K39" i="1"/>
  <c r="I40" i="1"/>
  <c r="I64" i="1" s="1"/>
  <c r="J40" i="1"/>
  <c r="K40" i="1"/>
  <c r="I41" i="1"/>
  <c r="J41" i="1"/>
  <c r="K41" i="1"/>
  <c r="H38" i="1"/>
  <c r="H39" i="1"/>
  <c r="H87" i="1" s="1"/>
  <c r="H40" i="1"/>
  <c r="H88" i="1" s="1"/>
  <c r="H41" i="1"/>
  <c r="G17" i="1"/>
  <c r="H17" i="1"/>
  <c r="J17" i="1"/>
  <c r="K17" i="1"/>
  <c r="G38" i="1"/>
  <c r="G39" i="1"/>
  <c r="G40" i="1"/>
  <c r="G41" i="1"/>
  <c r="F36" i="1"/>
  <c r="F48" i="1" s="1"/>
  <c r="F38" i="1"/>
  <c r="F39" i="1"/>
  <c r="F40" i="1"/>
  <c r="F41" i="1"/>
  <c r="F74" i="1"/>
  <c r="F75" i="1"/>
  <c r="F76" i="1"/>
  <c r="F77" i="1" s="1"/>
  <c r="F86" i="1"/>
  <c r="F87" i="1"/>
  <c r="F88" i="1"/>
  <c r="E40" i="1"/>
  <c r="E39" i="1"/>
  <c r="E38" i="1"/>
  <c r="E41" i="1"/>
  <c r="F17" i="1"/>
  <c r="G36" i="1"/>
  <c r="H36" i="1"/>
  <c r="I36" i="1"/>
  <c r="J36" i="1"/>
  <c r="K36" i="1"/>
  <c r="E36" i="1"/>
  <c r="E14" i="1"/>
  <c r="E17" i="1"/>
  <c r="L88" i="1" l="1"/>
  <c r="L76" i="1"/>
  <c r="L64" i="1"/>
  <c r="L52" i="1"/>
  <c r="L87" i="1"/>
  <c r="L75" i="1"/>
  <c r="L63" i="1"/>
  <c r="L51" i="1"/>
  <c r="L86" i="1"/>
  <c r="L89" i="1" s="1"/>
  <c r="L74" i="1"/>
  <c r="L77" i="1" s="1"/>
  <c r="L62" i="1"/>
  <c r="L65" i="1" s="1"/>
  <c r="L50" i="1"/>
  <c r="L53" i="1" s="1"/>
  <c r="L84" i="1"/>
  <c r="L85" i="1" s="1"/>
  <c r="L90" i="1" s="1"/>
  <c r="L91" i="1" s="1"/>
  <c r="L93" i="1" s="1"/>
  <c r="L60" i="1"/>
  <c r="L61" i="1" s="1"/>
  <c r="L66" i="1" s="1"/>
  <c r="L67" i="1" s="1"/>
  <c r="L69" i="1" s="1"/>
  <c r="L48" i="1"/>
  <c r="L49" i="1" s="1"/>
  <c r="L54" i="1" s="1"/>
  <c r="L55" i="1" s="1"/>
  <c r="L57" i="1" s="1"/>
  <c r="L37" i="1"/>
  <c r="L42" i="1" s="1"/>
  <c r="L43" i="1" s="1"/>
  <c r="L45" i="1" s="1"/>
  <c r="L72" i="1"/>
  <c r="L73" i="1" s="1"/>
  <c r="H62" i="1"/>
  <c r="H86" i="1"/>
  <c r="H89" i="1" s="1"/>
  <c r="H84" i="1"/>
  <c r="H85" i="1" s="1"/>
  <c r="H90" i="1" s="1"/>
  <c r="H91" i="1" s="1"/>
  <c r="H93" i="1" s="1"/>
  <c r="H72" i="1"/>
  <c r="H73" i="1" s="1"/>
  <c r="H60" i="1"/>
  <c r="H61" i="1" s="1"/>
  <c r="I84" i="1"/>
  <c r="I85" i="1" s="1"/>
  <c r="I72" i="1"/>
  <c r="I73" i="1" s="1"/>
  <c r="I60" i="1"/>
  <c r="I61" i="1" s="1"/>
  <c r="I48" i="1"/>
  <c r="I49" i="1" s="1"/>
  <c r="I37" i="1"/>
  <c r="J84" i="1"/>
  <c r="J85" i="1" s="1"/>
  <c r="J72" i="1"/>
  <c r="J73" i="1" s="1"/>
  <c r="J37" i="1"/>
  <c r="J48" i="1"/>
  <c r="J49" i="1" s="1"/>
  <c r="J60" i="1"/>
  <c r="J61" i="1" s="1"/>
  <c r="K48" i="1"/>
  <c r="K49" i="1" s="1"/>
  <c r="K37" i="1"/>
  <c r="K60" i="1"/>
  <c r="K61" i="1" s="1"/>
  <c r="K72" i="1"/>
  <c r="K73" i="1" s="1"/>
  <c r="K84" i="1"/>
  <c r="K85" i="1" s="1"/>
  <c r="K42" i="1"/>
  <c r="K43" i="1" s="1"/>
  <c r="K45" i="1" s="1"/>
  <c r="J42" i="1"/>
  <c r="J43" i="1" s="1"/>
  <c r="J45" i="1" s="1"/>
  <c r="J86" i="1"/>
  <c r="J74" i="1"/>
  <c r="J50" i="1"/>
  <c r="J62" i="1"/>
  <c r="K86" i="1"/>
  <c r="K74" i="1"/>
  <c r="K62" i="1"/>
  <c r="K50" i="1"/>
  <c r="J87" i="1"/>
  <c r="J75" i="1"/>
  <c r="J63" i="1"/>
  <c r="J51" i="1"/>
  <c r="K87" i="1"/>
  <c r="K75" i="1"/>
  <c r="K63" i="1"/>
  <c r="K51" i="1"/>
  <c r="J88" i="1"/>
  <c r="J76" i="1"/>
  <c r="J64" i="1"/>
  <c r="J52" i="1"/>
  <c r="K88" i="1"/>
  <c r="K76" i="1"/>
  <c r="K64" i="1"/>
  <c r="K52" i="1"/>
  <c r="H50" i="1"/>
  <c r="H74" i="1"/>
  <c r="H51" i="1"/>
  <c r="H75" i="1"/>
  <c r="H63" i="1"/>
  <c r="H52" i="1"/>
  <c r="H53" i="1" s="1"/>
  <c r="H76" i="1"/>
  <c r="H64" i="1"/>
  <c r="I88" i="1"/>
  <c r="I76" i="1"/>
  <c r="I52" i="1"/>
  <c r="I87" i="1"/>
  <c r="I75" i="1"/>
  <c r="I63" i="1"/>
  <c r="I51" i="1"/>
  <c r="I86" i="1"/>
  <c r="I74" i="1"/>
  <c r="I62" i="1"/>
  <c r="I50" i="1"/>
  <c r="I42" i="1"/>
  <c r="I43" i="1" s="1"/>
  <c r="I45" i="1" s="1"/>
  <c r="F89" i="1"/>
  <c r="G86" i="1"/>
  <c r="G74" i="1"/>
  <c r="G62" i="1"/>
  <c r="G50" i="1"/>
  <c r="G87" i="1"/>
  <c r="G75" i="1"/>
  <c r="G63" i="1"/>
  <c r="G51" i="1"/>
  <c r="G52" i="1"/>
  <c r="G88" i="1"/>
  <c r="G76" i="1"/>
  <c r="G64" i="1"/>
  <c r="E52" i="1"/>
  <c r="E64" i="1"/>
  <c r="E76" i="1"/>
  <c r="E88" i="1"/>
  <c r="E51" i="1"/>
  <c r="E87" i="1"/>
  <c r="E75" i="1"/>
  <c r="E63" i="1"/>
  <c r="E86" i="1"/>
  <c r="E89" i="1" s="1"/>
  <c r="E74" i="1"/>
  <c r="E77" i="1" s="1"/>
  <c r="E62" i="1"/>
  <c r="E65" i="1" s="1"/>
  <c r="E50" i="1"/>
  <c r="E53" i="1" s="1"/>
  <c r="G60" i="1"/>
  <c r="G61" i="1" s="1"/>
  <c r="G72" i="1"/>
  <c r="G73" i="1" s="1"/>
  <c r="G84" i="1"/>
  <c r="G85" i="1" s="1"/>
  <c r="G37" i="1"/>
  <c r="G42" i="1" s="1"/>
  <c r="G43" i="1" s="1"/>
  <c r="G45" i="1" s="1"/>
  <c r="G48" i="1"/>
  <c r="G49" i="1" s="1"/>
  <c r="H37" i="1"/>
  <c r="H42" i="1" s="1"/>
  <c r="H43" i="1" s="1"/>
  <c r="H45" i="1" s="1"/>
  <c r="H48" i="1"/>
  <c r="H49" i="1" s="1"/>
  <c r="H54" i="1" s="1"/>
  <c r="H55" i="1" s="1"/>
  <c r="H57" i="1" s="1"/>
  <c r="E37" i="1"/>
  <c r="E42" i="1" s="1"/>
  <c r="E43" i="1" s="1"/>
  <c r="E45" i="1" s="1"/>
  <c r="E84" i="1"/>
  <c r="E85" i="1" s="1"/>
  <c r="E72" i="1"/>
  <c r="E73" i="1" s="1"/>
  <c r="E60" i="1"/>
  <c r="E61" i="1" s="1"/>
  <c r="E48" i="1"/>
  <c r="E49" i="1" s="1"/>
  <c r="F49" i="1"/>
  <c r="F37" i="1"/>
  <c r="F42" i="1" s="1"/>
  <c r="F43" i="1" s="1"/>
  <c r="F45" i="1" s="1"/>
  <c r="F60" i="1"/>
  <c r="F61" i="1" s="1"/>
  <c r="F72" i="1"/>
  <c r="F73" i="1" s="1"/>
  <c r="F78" i="1" s="1"/>
  <c r="F79" i="1" s="1"/>
  <c r="F81" i="1" s="1"/>
  <c r="F84" i="1"/>
  <c r="F85" i="1" s="1"/>
  <c r="F50" i="1"/>
  <c r="F62" i="1"/>
  <c r="F51" i="1"/>
  <c r="F63" i="1"/>
  <c r="F52" i="1"/>
  <c r="F64" i="1"/>
  <c r="L78" i="1" l="1"/>
  <c r="L79" i="1" s="1"/>
  <c r="L81" i="1" s="1"/>
  <c r="F90" i="1"/>
  <c r="F91" i="1" s="1"/>
  <c r="F93" i="1" s="1"/>
  <c r="G89" i="1"/>
  <c r="J89" i="1"/>
  <c r="J90" i="1" s="1"/>
  <c r="J91" i="1" s="1"/>
  <c r="J93" i="1" s="1"/>
  <c r="J77" i="1"/>
  <c r="J78" i="1" s="1"/>
  <c r="J79" i="1" s="1"/>
  <c r="J81" i="1" s="1"/>
  <c r="J53" i="1"/>
  <c r="J54" i="1" s="1"/>
  <c r="J55" i="1" s="1"/>
  <c r="J57" i="1" s="1"/>
  <c r="J65" i="1"/>
  <c r="J66" i="1" s="1"/>
  <c r="J67" i="1" s="1"/>
  <c r="J69" i="1" s="1"/>
  <c r="K89" i="1"/>
  <c r="K90" i="1" s="1"/>
  <c r="K91" i="1" s="1"/>
  <c r="K93" i="1" s="1"/>
  <c r="K77" i="1"/>
  <c r="K78" i="1" s="1"/>
  <c r="K79" i="1" s="1"/>
  <c r="K81" i="1" s="1"/>
  <c r="K65" i="1"/>
  <c r="K66" i="1" s="1"/>
  <c r="K67" i="1" s="1"/>
  <c r="K69" i="1" s="1"/>
  <c r="K53" i="1"/>
  <c r="K54" i="1" s="1"/>
  <c r="K55" i="1" s="1"/>
  <c r="K57" i="1" s="1"/>
  <c r="H77" i="1"/>
  <c r="H78" i="1" s="1"/>
  <c r="H79" i="1" s="1"/>
  <c r="H81" i="1" s="1"/>
  <c r="H65" i="1"/>
  <c r="H66" i="1" s="1"/>
  <c r="H67" i="1" s="1"/>
  <c r="H69" i="1" s="1"/>
  <c r="G77" i="1"/>
  <c r="G78" i="1" s="1"/>
  <c r="G79" i="1" s="1"/>
  <c r="G81" i="1" s="1"/>
  <c r="G65" i="1"/>
  <c r="G66" i="1" s="1"/>
  <c r="G67" i="1" s="1"/>
  <c r="G69" i="1" s="1"/>
  <c r="I53" i="1"/>
  <c r="I54" i="1" s="1"/>
  <c r="I55" i="1" s="1"/>
  <c r="I57" i="1" s="1"/>
  <c r="I89" i="1"/>
  <c r="I90" i="1" s="1"/>
  <c r="I91" i="1" s="1"/>
  <c r="I93" i="1" s="1"/>
  <c r="I77" i="1"/>
  <c r="I78" i="1" s="1"/>
  <c r="I79" i="1" s="1"/>
  <c r="I81" i="1" s="1"/>
  <c r="I65" i="1"/>
  <c r="I66" i="1" s="1"/>
  <c r="I67" i="1" s="1"/>
  <c r="I69" i="1" s="1"/>
  <c r="G90" i="1"/>
  <c r="G91" i="1" s="1"/>
  <c r="G93" i="1" s="1"/>
  <c r="F65" i="1"/>
  <c r="F66" i="1" s="1"/>
  <c r="F67" i="1" s="1"/>
  <c r="F69" i="1" s="1"/>
  <c r="G53" i="1"/>
  <c r="G54" i="1" s="1"/>
  <c r="G55" i="1" s="1"/>
  <c r="G57" i="1" s="1"/>
  <c r="E90" i="1"/>
  <c r="E91" i="1" s="1"/>
  <c r="E93" i="1" s="1"/>
  <c r="E78" i="1"/>
  <c r="E79" i="1" s="1"/>
  <c r="E81" i="1" s="1"/>
  <c r="E66" i="1"/>
  <c r="E67" i="1" s="1"/>
  <c r="E69" i="1" s="1"/>
  <c r="E54" i="1"/>
  <c r="E55" i="1" s="1"/>
  <c r="E57" i="1" s="1"/>
  <c r="F53" i="1"/>
  <c r="F54" i="1" s="1"/>
  <c r="F55" i="1" s="1"/>
  <c r="F57" i="1" s="1"/>
</calcChain>
</file>

<file path=xl/sharedStrings.xml><?xml version="1.0" encoding="utf-8"?>
<sst xmlns="http://schemas.openxmlformats.org/spreadsheetml/2006/main" count="273" uniqueCount="112">
  <si>
    <t>GPU Utilisation</t>
  </si>
  <si>
    <t>Est. Achieved Occupancy</t>
  </si>
  <si>
    <t>Images per second</t>
  </si>
  <si>
    <t>Total training time</t>
  </si>
  <si>
    <t>Train begin time</t>
  </si>
  <si>
    <t>Train end time</t>
  </si>
  <si>
    <t>DataLoader time percentage</t>
  </si>
  <si>
    <t>Kernel time duration</t>
  </si>
  <si>
    <t>Metric</t>
  </si>
  <si>
    <t>Standardises performance across different batch sizes</t>
  </si>
  <si>
    <t>Note on why recording</t>
  </si>
  <si>
    <t>Drives compute costs</t>
  </si>
  <si>
    <t>Average duration of a forward-backward-update pass</t>
  </si>
  <si>
    <t>How often the GPU has active kernels queued</t>
  </si>
  <si>
    <t>Percentage of step spent waiting for CPU to serve data to GPU</t>
  </si>
  <si>
    <t>Total time GPU spent computing (compare to step time to understand CPU scheduling delays)</t>
  </si>
  <si>
    <t>Low tensor core utilisation means GPU not running at maximum efficiency</t>
  </si>
  <si>
    <t>Batch size</t>
  </si>
  <si>
    <t>Batches per second</t>
  </si>
  <si>
    <t>Source</t>
  </si>
  <si>
    <t>ClearML</t>
  </si>
  <si>
    <t>Derived</t>
  </si>
  <si>
    <t>Tensorboard Overview</t>
  </si>
  <si>
    <t>Tensorboard Kernel View</t>
  </si>
  <si>
    <t>Tensorboard Operator View</t>
  </si>
  <si>
    <t>Est. SM (Streaming Multiprocessor) Efficiency</t>
  </si>
  <si>
    <t xml:space="preserve">Average Step time </t>
  </si>
  <si>
    <t>Tensor core utilisation</t>
  </si>
  <si>
    <t>CUDA sync time duration</t>
  </si>
  <si>
    <t xml:space="preserve">Memcpy Duration Percentage </t>
  </si>
  <si>
    <t>Measures how 'full' the SMs are - higher generally better</t>
  </si>
  <si>
    <t>Measures how much of the GPU being used - low SM efficiency indicates issues with kernel size (too small) or data throughput (too slow)</t>
  </si>
  <si>
    <t>CPU execution time</t>
  </si>
  <si>
    <t>How much of the step is taken up by CPU execution time (e.g. image augmentations) - though increasing this does not necessary lead to overall increase in training time (because CPU/GPU operate asynchonously)</t>
  </si>
  <si>
    <t>Test Training Run Results</t>
  </si>
  <si>
    <t>Full Training Run Projections</t>
  </si>
  <si>
    <t>Total Image Number</t>
  </si>
  <si>
    <t>Total Epochs</t>
  </si>
  <si>
    <t>VRAM</t>
  </si>
  <si>
    <t>Bandwidth</t>
  </si>
  <si>
    <t>Batch Size</t>
  </si>
  <si>
    <t>Projected Batch Size</t>
  </si>
  <si>
    <t>Projected Steps per Epoch</t>
  </si>
  <si>
    <t>Projected Step Time</t>
  </si>
  <si>
    <t>GPU Hourly Rate</t>
  </si>
  <si>
    <t>Projected Cost</t>
  </si>
  <si>
    <t>B200</t>
  </si>
  <si>
    <t>GPU Summary</t>
  </si>
  <si>
    <t>Execution Summary</t>
  </si>
  <si>
    <t>Memset</t>
  </si>
  <si>
    <t>Runtime</t>
  </si>
  <si>
    <t>Other</t>
  </si>
  <si>
    <t>Baseline batch size * (target VRAM / baseline VRAM)</t>
  </si>
  <si>
    <t>Total images / projected batch size</t>
  </si>
  <si>
    <t>Hardware scaling time</t>
  </si>
  <si>
    <t>(Kernel time + Memset time) * (baseline bandwidth/target bandwidth)</t>
  </si>
  <si>
    <t>Bus scaling time</t>
  </si>
  <si>
    <t>Memcpy time</t>
  </si>
  <si>
    <t>Memcpy time (assuming constant PCIe)</t>
  </si>
  <si>
    <t>Fixed host time</t>
  </si>
  <si>
    <t>Runtime + dataloader + cpu execution + other</t>
  </si>
  <si>
    <t>Hardware scaling time + bus scaling time + fixed host time</t>
  </si>
  <si>
    <t>Projected step time * projected steps per epoch * total epochs</t>
  </si>
  <si>
    <t>Projected total time * GPU hourly rate</t>
  </si>
  <si>
    <t>Test Number</t>
  </si>
  <si>
    <t>Test Description</t>
  </si>
  <si>
    <t>01</t>
  </si>
  <si>
    <t>02</t>
  </si>
  <si>
    <t>03</t>
  </si>
  <si>
    <t>04</t>
  </si>
  <si>
    <t>Baseline with 640px images</t>
  </si>
  <si>
    <t>Adding --cache disk</t>
  </si>
  <si>
    <t>Limiting cpu/gpu sync to every 20 batches</t>
  </si>
  <si>
    <t>In-place numpy updates</t>
  </si>
  <si>
    <t>05</t>
  </si>
  <si>
    <t>Enabling tensor cores by specifying TF32</t>
  </si>
  <si>
    <t xml:space="preserve">06 </t>
  </si>
  <si>
    <t>Changing tensor format from NCHW to NHWC</t>
  </si>
  <si>
    <t>07</t>
  </si>
  <si>
    <t>Using torch.compile for more efficient kernels</t>
  </si>
  <si>
    <t>Runpod</t>
  </si>
  <si>
    <t>Experiment parameter</t>
  </si>
  <si>
    <t>Step time</t>
  </si>
  <si>
    <t>Tensorboard</t>
  </si>
  <si>
    <t>Time spent waiting for data to copy</t>
  </si>
  <si>
    <t>CUDA runtime execution time</t>
  </si>
  <si>
    <t>Time to initialise VRAM</t>
  </si>
  <si>
    <t>NOT A METRIC - NEED TO REVIEW IN 'TRACE'. Measures CPU-blocking calls like .item() [aten::item] and aten::_local_scalar_dense. Can see in trace with cudaStreamSynchronise blocks underneath these items (the CPU is waiting for the GPU to send the necessary value)</t>
  </si>
  <si>
    <t>N/A</t>
  </si>
  <si>
    <t>Very similar Trace structure to base run. Possibly slightly narrower CPU white gaps</t>
  </si>
  <si>
    <t>RTX6000 Ada</t>
  </si>
  <si>
    <t>RTX PRO 6000</t>
  </si>
  <si>
    <t>H100 SXM</t>
  </si>
  <si>
    <t>Projected Total Time (us)</t>
  </si>
  <si>
    <t>Projected Total Time (hours)</t>
  </si>
  <si>
    <t>Time (in us) / 3,600,000,000</t>
  </si>
  <si>
    <t>Kernel time + Memset time</t>
  </si>
  <si>
    <t>in GB</t>
  </si>
  <si>
    <t>(in TB/s)</t>
  </si>
  <si>
    <t>https://inworld.ai/resources/nvidia-b200-gpu-cloud</t>
  </si>
  <si>
    <t>https://www.runpod.io/articles/guides/nvidia-h100</t>
  </si>
  <si>
    <t>https://lenovopress.lenovo.com/lp2364-thinksystem-nvidia-rtx-pro-6000-blackwell-max-q-workstation-edition-gpu</t>
  </si>
  <si>
    <t>https://www.nvidia.com/content/dam/en-zz/Solutions/design-visualization/rtx-6000/proviz-print-rtx6000-datasheet-web-2504660.pdf</t>
  </si>
  <si>
    <t>https://www.techpowerup.com/gpu-specs/geforce-rtx-4090.c3889</t>
  </si>
  <si>
    <t>(Usually RTX4090 BUT</t>
  </si>
  <si>
    <t>not necessarily)</t>
  </si>
  <si>
    <t>Baseline</t>
  </si>
  <si>
    <t>No real change in trace structure... was expecting more of a change with this one...</t>
  </si>
  <si>
    <t>A small chunk of aten::batchnorm operations had become more efficient, visible in the trace</t>
  </si>
  <si>
    <t>06</t>
  </si>
  <si>
    <t>Specifying TF32 and batch size to be multiple of 8</t>
  </si>
  <si>
    <t>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</si>
</sst>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2" fillId="0" borderId="0" xfId="1" applyBorder="1"/>
    <xf numFmtId="0" fontId="1" fillId="0" borderId="2" xfId="0" applyFont="1" applyBorder="1"/>
    <xf numFmtId="2" fontId="1" fillId="0" borderId="2" xfId="0" applyNumberFormat="1" applyFont="1" applyBorder="1"/>
    <xf numFmtId="0" fontId="0" fillId="0" borderId="2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enovopress.lenovo.com/lp2364-thinksystem-nvidia-rtx-pro-6000-blackwell-max-q-workstation-edition-gpu" TargetMode="External"/><Relationship Id="rId2" Type="http://schemas.openxmlformats.org/officeDocument/2006/relationships/hyperlink" Target="https://www.runpod.io/articles/guides/nvidia-h100" TargetMode="External"/><Relationship Id="rId1" Type="http://schemas.openxmlformats.org/officeDocument/2006/relationships/hyperlink" Target="https://inworld.ai/resources/nvidia-b200-gpu-cloud" TargetMode="External"/><Relationship Id="rId5" Type="http://schemas.openxmlformats.org/officeDocument/2006/relationships/hyperlink" Target="https://www.techpowerup.com/gpu-specs/geforce-rtx-4090.c3889" TargetMode="External"/><Relationship Id="rId4" Type="http://schemas.openxmlformats.org/officeDocument/2006/relationships/hyperlink" Target="https://www.nvidia.com/content/dam/en-zz/Solutions/design-visualization/rtx-6000/proviz-print-rtx6000-datasheet-web-250466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401FA-EEA0-488B-A983-56A70DAAC458}">
  <dimension ref="A1:L93"/>
  <sheetViews>
    <sheetView tabSelected="1" zoomScaleNormal="100" workbookViewId="0">
      <selection activeCell="J18" sqref="J18"/>
    </sheetView>
  </sheetViews>
  <sheetFormatPr defaultRowHeight="14.6" x14ac:dyDescent="0.4"/>
  <cols>
    <col min="1" max="1" width="24.07421875" customWidth="1"/>
    <col min="2" max="2" width="25.765625" customWidth="1"/>
    <col min="3" max="3" width="8.3046875" customWidth="1"/>
    <col min="4" max="4" width="47.921875" customWidth="1"/>
    <col min="5" max="5" width="13" customWidth="1"/>
    <col min="6" max="12" width="7.765625" customWidth="1"/>
    <col min="15" max="15" width="21.4609375" bestFit="1" customWidth="1"/>
  </cols>
  <sheetData>
    <row r="1" spans="1:12" x14ac:dyDescent="0.4">
      <c r="A1" s="7" t="s">
        <v>64</v>
      </c>
      <c r="B1" s="1" t="s">
        <v>65</v>
      </c>
    </row>
    <row r="2" spans="1:12" x14ac:dyDescent="0.4">
      <c r="A2" s="6" t="s">
        <v>66</v>
      </c>
      <c r="B2" t="s">
        <v>70</v>
      </c>
    </row>
    <row r="3" spans="1:12" x14ac:dyDescent="0.4">
      <c r="A3" s="6" t="s">
        <v>67</v>
      </c>
      <c r="B3" t="s">
        <v>71</v>
      </c>
    </row>
    <row r="4" spans="1:12" x14ac:dyDescent="0.4">
      <c r="A4" s="6" t="s">
        <v>68</v>
      </c>
      <c r="B4" t="s">
        <v>72</v>
      </c>
    </row>
    <row r="5" spans="1:12" x14ac:dyDescent="0.4">
      <c r="A5" s="6" t="s">
        <v>69</v>
      </c>
      <c r="B5" t="s">
        <v>73</v>
      </c>
    </row>
    <row r="6" spans="1:12" x14ac:dyDescent="0.4">
      <c r="A6" s="6" t="s">
        <v>74</v>
      </c>
      <c r="B6" t="s">
        <v>75</v>
      </c>
    </row>
    <row r="7" spans="1:12" x14ac:dyDescent="0.4">
      <c r="A7" s="6" t="s">
        <v>109</v>
      </c>
      <c r="B7" t="s">
        <v>110</v>
      </c>
    </row>
    <row r="8" spans="1:12" x14ac:dyDescent="0.4">
      <c r="A8" s="6" t="s">
        <v>78</v>
      </c>
      <c r="B8" t="s">
        <v>77</v>
      </c>
    </row>
    <row r="9" spans="1:12" x14ac:dyDescent="0.4">
      <c r="A9" s="6" t="s">
        <v>111</v>
      </c>
      <c r="B9" t="s">
        <v>79</v>
      </c>
    </row>
    <row r="11" spans="1:12" x14ac:dyDescent="0.4">
      <c r="B11" s="1" t="s">
        <v>8</v>
      </c>
      <c r="C11" s="1" t="s">
        <v>19</v>
      </c>
      <c r="D11" s="1" t="s">
        <v>10</v>
      </c>
      <c r="E11" s="8" t="s">
        <v>66</v>
      </c>
      <c r="F11" s="8" t="s">
        <v>67</v>
      </c>
      <c r="G11" s="8" t="s">
        <v>68</v>
      </c>
      <c r="H11" s="8" t="s">
        <v>69</v>
      </c>
      <c r="I11" s="8" t="s">
        <v>74</v>
      </c>
      <c r="J11" s="8" t="s">
        <v>76</v>
      </c>
      <c r="K11" s="8" t="s">
        <v>78</v>
      </c>
      <c r="L11" s="8" t="s">
        <v>111</v>
      </c>
    </row>
    <row r="12" spans="1:12" x14ac:dyDescent="0.4">
      <c r="A12" s="1" t="s">
        <v>34</v>
      </c>
      <c r="B12" t="s">
        <v>17</v>
      </c>
      <c r="C12" t="s">
        <v>20</v>
      </c>
      <c r="D12" s="1"/>
      <c r="E12">
        <v>27</v>
      </c>
      <c r="F12">
        <v>27</v>
      </c>
      <c r="G12">
        <v>27</v>
      </c>
      <c r="H12">
        <v>27</v>
      </c>
      <c r="I12">
        <v>27</v>
      </c>
      <c r="J12">
        <v>24</v>
      </c>
    </row>
    <row r="13" spans="1:12" x14ac:dyDescent="0.4">
      <c r="B13" t="s">
        <v>18</v>
      </c>
      <c r="C13" t="s">
        <v>20</v>
      </c>
      <c r="D13" s="1"/>
    </row>
    <row r="14" spans="1:12" x14ac:dyDescent="0.4">
      <c r="B14" t="s">
        <v>2</v>
      </c>
      <c r="C14" t="s">
        <v>21</v>
      </c>
      <c r="D14" t="s">
        <v>9</v>
      </c>
      <c r="E14" t="str">
        <f>IF(E13="","",E13*E12)</f>
        <v/>
      </c>
    </row>
    <row r="15" spans="1:12" x14ac:dyDescent="0.4">
      <c r="B15" t="s">
        <v>4</v>
      </c>
      <c r="C15" t="s">
        <v>20</v>
      </c>
      <c r="E15" s="2">
        <v>8.0833333333333326E-2</v>
      </c>
      <c r="F15" s="2">
        <v>8.6585648148148148E-2</v>
      </c>
      <c r="G15" s="2">
        <v>0.12693287037037038</v>
      </c>
      <c r="H15" s="2">
        <v>0.1700925925925926</v>
      </c>
      <c r="I15" s="2">
        <v>0.62850694444444444</v>
      </c>
      <c r="J15" s="2">
        <v>0.6897106481481482</v>
      </c>
      <c r="K15" s="2">
        <v>0</v>
      </c>
      <c r="L15" s="2">
        <v>0</v>
      </c>
    </row>
    <row r="16" spans="1:12" x14ac:dyDescent="0.4">
      <c r="B16" t="s">
        <v>5</v>
      </c>
      <c r="C16" t="s">
        <v>20</v>
      </c>
      <c r="E16" s="2">
        <v>8.4409722222222219E-2</v>
      </c>
      <c r="F16" s="2">
        <v>9.0081018518518519E-2</v>
      </c>
      <c r="G16" s="2">
        <v>0.13069444444444445</v>
      </c>
      <c r="H16" s="2">
        <v>0.17354166666666668</v>
      </c>
      <c r="I16" s="2">
        <v>0.63196759259259261</v>
      </c>
      <c r="J16" s="2">
        <v>0.69269675925925922</v>
      </c>
      <c r="K16" s="2">
        <v>0</v>
      </c>
      <c r="L16" s="2">
        <v>0</v>
      </c>
    </row>
    <row r="17" spans="1:12" x14ac:dyDescent="0.4">
      <c r="B17" t="s">
        <v>3</v>
      </c>
      <c r="C17" t="s">
        <v>21</v>
      </c>
      <c r="D17" t="s">
        <v>11</v>
      </c>
      <c r="E17" s="2">
        <f>IF(E16="","",E16-E15)</f>
        <v>3.5763888888888928E-3</v>
      </c>
      <c r="F17" s="2">
        <f t="shared" ref="F17" si="0">IF(F16="","",F16-F15)</f>
        <v>3.4953703703703709E-3</v>
      </c>
      <c r="G17" s="2">
        <f t="shared" ref="G17" si="1">IF(G16="","",G16-G15)</f>
        <v>3.76157407407407E-3</v>
      </c>
      <c r="H17" s="2">
        <f t="shared" ref="H17" si="2">IF(H16="","",H16-H15)</f>
        <v>3.4490740740740766E-3</v>
      </c>
      <c r="I17" s="2">
        <f t="shared" ref="I17" si="3">IF(I16="","",I16-I15)</f>
        <v>3.460648148148171E-3</v>
      </c>
      <c r="J17" s="2">
        <f t="shared" ref="J17" si="4">IF(J16="","",J16-J15)</f>
        <v>2.9861111111110228E-3</v>
      </c>
      <c r="K17" s="2">
        <f t="shared" ref="K17:L17" si="5">IF(K16="","",K16-K15)</f>
        <v>0</v>
      </c>
      <c r="L17" s="2">
        <f t="shared" si="5"/>
        <v>0</v>
      </c>
    </row>
    <row r="18" spans="1:12" x14ac:dyDescent="0.4">
      <c r="A18" s="1" t="s">
        <v>48</v>
      </c>
      <c r="B18" t="s">
        <v>26</v>
      </c>
      <c r="C18" t="s">
        <v>22</v>
      </c>
      <c r="D18" t="s">
        <v>12</v>
      </c>
      <c r="E18" s="4">
        <v>607806</v>
      </c>
      <c r="F18" s="4">
        <v>605018</v>
      </c>
      <c r="G18" s="4">
        <v>603210</v>
      </c>
      <c r="H18" s="4">
        <v>609326</v>
      </c>
      <c r="I18" s="4">
        <v>601619</v>
      </c>
      <c r="J18" s="4"/>
      <c r="K18" s="4"/>
      <c r="L18" s="4"/>
    </row>
    <row r="19" spans="1:12" x14ac:dyDescent="0.4">
      <c r="A19" s="1"/>
      <c r="B19" t="s">
        <v>7</v>
      </c>
      <c r="C19" t="s">
        <v>22</v>
      </c>
      <c r="D19" t="s">
        <v>15</v>
      </c>
      <c r="E19" s="4">
        <v>504964</v>
      </c>
      <c r="F19" s="4">
        <v>514246</v>
      </c>
      <c r="G19" s="4">
        <v>514469</v>
      </c>
      <c r="H19" s="4">
        <v>510476</v>
      </c>
      <c r="I19" s="4">
        <v>505530</v>
      </c>
      <c r="J19" s="4"/>
      <c r="K19" s="4"/>
      <c r="L19" s="4"/>
    </row>
    <row r="20" spans="1:12" x14ac:dyDescent="0.4">
      <c r="A20" s="1"/>
      <c r="B20" t="s">
        <v>29</v>
      </c>
      <c r="C20" t="s">
        <v>22</v>
      </c>
      <c r="D20" t="s">
        <v>84</v>
      </c>
      <c r="E20" s="4">
        <v>12948</v>
      </c>
      <c r="F20" s="4">
        <v>12460</v>
      </c>
      <c r="G20" s="4">
        <v>12436</v>
      </c>
      <c r="H20" s="4">
        <v>13388</v>
      </c>
      <c r="I20" s="4">
        <v>12948</v>
      </c>
      <c r="J20" s="4"/>
      <c r="K20" s="4"/>
      <c r="L20" s="4"/>
    </row>
    <row r="21" spans="1:12" x14ac:dyDescent="0.4">
      <c r="A21" s="1"/>
      <c r="B21" t="s">
        <v>49</v>
      </c>
      <c r="C21" t="s">
        <v>22</v>
      </c>
      <c r="D21" t="s">
        <v>86</v>
      </c>
      <c r="E21" s="4">
        <v>1464</v>
      </c>
      <c r="F21" s="4">
        <v>1372</v>
      </c>
      <c r="G21" s="4">
        <v>1374</v>
      </c>
      <c r="H21" s="4">
        <v>1386</v>
      </c>
      <c r="I21" s="4">
        <v>1383</v>
      </c>
      <c r="J21" s="4"/>
      <c r="K21" s="4"/>
      <c r="L21" s="4"/>
    </row>
    <row r="22" spans="1:12" x14ac:dyDescent="0.4">
      <c r="A22" s="1"/>
      <c r="B22" t="s">
        <v>50</v>
      </c>
      <c r="C22" t="s">
        <v>22</v>
      </c>
      <c r="D22" t="s">
        <v>85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/>
      <c r="K22" s="4"/>
      <c r="L22" s="4"/>
    </row>
    <row r="23" spans="1:12" x14ac:dyDescent="0.4">
      <c r="A23" s="1"/>
      <c r="B23" t="s">
        <v>6</v>
      </c>
      <c r="C23" t="s">
        <v>22</v>
      </c>
      <c r="D23" t="s">
        <v>14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/>
      <c r="K23" s="4"/>
      <c r="L23" s="4"/>
    </row>
    <row r="24" spans="1:12" x14ac:dyDescent="0.4">
      <c r="A24" s="1"/>
      <c r="B24" t="s">
        <v>32</v>
      </c>
      <c r="C24" t="s">
        <v>22</v>
      </c>
      <c r="D24" t="s">
        <v>33</v>
      </c>
      <c r="E24" s="4">
        <v>64042</v>
      </c>
      <c r="F24" s="4">
        <v>53850</v>
      </c>
      <c r="G24" s="4">
        <v>52803</v>
      </c>
      <c r="H24" s="4">
        <v>57974</v>
      </c>
      <c r="I24" s="4">
        <v>56680</v>
      </c>
      <c r="J24" s="4"/>
      <c r="K24" s="4"/>
      <c r="L24" s="4"/>
    </row>
    <row r="25" spans="1:12" x14ac:dyDescent="0.4">
      <c r="A25" s="1"/>
      <c r="B25" t="s">
        <v>51</v>
      </c>
      <c r="C25" t="s">
        <v>22</v>
      </c>
      <c r="E25" s="4">
        <v>24386</v>
      </c>
      <c r="F25" s="4">
        <v>23092</v>
      </c>
      <c r="G25" s="4">
        <v>22130</v>
      </c>
      <c r="H25" s="4">
        <v>26102</v>
      </c>
      <c r="I25" s="4">
        <v>25078</v>
      </c>
      <c r="J25" s="4"/>
      <c r="K25" s="4"/>
      <c r="L25" s="4"/>
    </row>
    <row r="26" spans="1:12" x14ac:dyDescent="0.4">
      <c r="A26" s="1" t="s">
        <v>47</v>
      </c>
      <c r="B26" t="s">
        <v>0</v>
      </c>
      <c r="C26" t="s">
        <v>22</v>
      </c>
      <c r="D26" t="s">
        <v>13</v>
      </c>
      <c r="E26" s="3">
        <v>83.08</v>
      </c>
      <c r="F26" s="3">
        <v>84.99</v>
      </c>
      <c r="G26" s="3">
        <v>85.28</v>
      </c>
      <c r="H26" s="3">
        <v>83.77</v>
      </c>
      <c r="I26" s="3">
        <v>84.02</v>
      </c>
      <c r="J26" s="3"/>
      <c r="K26" s="3"/>
      <c r="L26" s="3"/>
    </row>
    <row r="27" spans="1:12" x14ac:dyDescent="0.4">
      <c r="B27" t="s">
        <v>25</v>
      </c>
      <c r="C27" t="s">
        <v>22</v>
      </c>
      <c r="D27" t="s">
        <v>31</v>
      </c>
      <c r="E27" s="3">
        <v>33.36</v>
      </c>
      <c r="F27" s="3">
        <v>34.03</v>
      </c>
      <c r="G27" s="3">
        <v>34.18</v>
      </c>
      <c r="H27" s="3">
        <v>33.659999999999997</v>
      </c>
      <c r="I27" s="3">
        <v>33.74</v>
      </c>
      <c r="J27" s="3"/>
      <c r="K27" s="3"/>
      <c r="L27" s="3"/>
    </row>
    <row r="28" spans="1:12" x14ac:dyDescent="0.4">
      <c r="B28" t="s">
        <v>1</v>
      </c>
      <c r="C28" t="s">
        <v>22</v>
      </c>
      <c r="D28" t="s">
        <v>30</v>
      </c>
      <c r="E28" s="3">
        <v>22.41</v>
      </c>
      <c r="F28" s="3">
        <v>22.21</v>
      </c>
      <c r="G28" s="3">
        <v>22.24</v>
      </c>
      <c r="H28" s="3">
        <v>22.37</v>
      </c>
      <c r="I28" s="3">
        <v>22.4</v>
      </c>
      <c r="J28" s="3"/>
      <c r="K28" s="3"/>
      <c r="L28" s="3"/>
    </row>
    <row r="29" spans="1:12" x14ac:dyDescent="0.4">
      <c r="B29" t="s">
        <v>28</v>
      </c>
      <c r="C29" t="s">
        <v>24</v>
      </c>
      <c r="D29" t="s">
        <v>87</v>
      </c>
      <c r="E29" s="5" t="s">
        <v>88</v>
      </c>
      <c r="F29" t="s">
        <v>89</v>
      </c>
      <c r="G29" t="s">
        <v>107</v>
      </c>
      <c r="H29" t="s">
        <v>108</v>
      </c>
    </row>
    <row r="30" spans="1:12" x14ac:dyDescent="0.4">
      <c r="B30" t="s">
        <v>27</v>
      </c>
      <c r="C30" t="s">
        <v>23</v>
      </c>
      <c r="D30" t="s">
        <v>16</v>
      </c>
      <c r="E30" s="3">
        <v>5.0999999999999996</v>
      </c>
      <c r="F30" s="3">
        <v>5.0999999999999996</v>
      </c>
      <c r="G30" s="3">
        <v>5.0999999999999996</v>
      </c>
      <c r="H30" s="3">
        <v>5.0999999999999996</v>
      </c>
      <c r="I30" s="3">
        <v>5.0999999999999996</v>
      </c>
    </row>
    <row r="32" spans="1:12" x14ac:dyDescent="0.4">
      <c r="A32" s="1" t="s">
        <v>35</v>
      </c>
      <c r="B32" t="s">
        <v>36</v>
      </c>
      <c r="C32" t="s">
        <v>81</v>
      </c>
      <c r="E32">
        <v>100700</v>
      </c>
      <c r="F32">
        <v>100700</v>
      </c>
      <c r="G32">
        <v>100700</v>
      </c>
      <c r="H32">
        <v>100700</v>
      </c>
      <c r="I32">
        <v>100700</v>
      </c>
      <c r="J32">
        <v>100700</v>
      </c>
      <c r="K32">
        <v>100700</v>
      </c>
      <c r="L32">
        <v>100700</v>
      </c>
    </row>
    <row r="33" spans="1:12" x14ac:dyDescent="0.4">
      <c r="B33" t="s">
        <v>37</v>
      </c>
      <c r="C33" t="s">
        <v>81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</row>
    <row r="34" spans="1:12" x14ac:dyDescent="0.4">
      <c r="A34" s="9" t="s">
        <v>106</v>
      </c>
      <c r="B34" s="10" t="s">
        <v>38</v>
      </c>
      <c r="C34" s="10" t="s">
        <v>80</v>
      </c>
      <c r="D34" s="10" t="s">
        <v>97</v>
      </c>
      <c r="E34" s="10">
        <v>24</v>
      </c>
      <c r="F34" s="10">
        <v>24</v>
      </c>
      <c r="G34" s="10">
        <v>24</v>
      </c>
      <c r="H34" s="10">
        <v>24</v>
      </c>
      <c r="I34" s="10">
        <v>24</v>
      </c>
      <c r="J34" s="10">
        <v>24</v>
      </c>
      <c r="K34" s="10">
        <v>24</v>
      </c>
      <c r="L34" s="10">
        <v>24</v>
      </c>
    </row>
    <row r="35" spans="1:12" x14ac:dyDescent="0.4">
      <c r="A35" s="1" t="s">
        <v>104</v>
      </c>
      <c r="B35" t="s">
        <v>39</v>
      </c>
      <c r="C35" s="11" t="s">
        <v>103</v>
      </c>
      <c r="D35" t="s">
        <v>98</v>
      </c>
      <c r="E35">
        <v>1.01</v>
      </c>
      <c r="F35">
        <v>1.01</v>
      </c>
      <c r="G35">
        <v>1.01</v>
      </c>
      <c r="H35">
        <v>1.01</v>
      </c>
      <c r="I35">
        <v>1.01</v>
      </c>
      <c r="J35">
        <v>1.01</v>
      </c>
      <c r="K35">
        <v>1.01</v>
      </c>
      <c r="L35">
        <v>1.01</v>
      </c>
    </row>
    <row r="36" spans="1:12" x14ac:dyDescent="0.4">
      <c r="A36" s="1" t="s">
        <v>105</v>
      </c>
      <c r="B36" t="s">
        <v>40</v>
      </c>
      <c r="C36" t="s">
        <v>20</v>
      </c>
      <c r="E36">
        <f>E12</f>
        <v>27</v>
      </c>
      <c r="F36">
        <f>F12</f>
        <v>27</v>
      </c>
      <c r="G36">
        <f t="shared" ref="G36:K36" si="6">G12</f>
        <v>27</v>
      </c>
      <c r="H36">
        <f t="shared" si="6"/>
        <v>27</v>
      </c>
      <c r="I36">
        <f t="shared" si="6"/>
        <v>27</v>
      </c>
      <c r="J36">
        <f t="shared" si="6"/>
        <v>24</v>
      </c>
      <c r="K36">
        <f t="shared" si="6"/>
        <v>0</v>
      </c>
      <c r="L36">
        <f t="shared" ref="L36" si="7">L12</f>
        <v>0</v>
      </c>
    </row>
    <row r="37" spans="1:12" x14ac:dyDescent="0.4">
      <c r="A37" s="1"/>
      <c r="B37" t="s">
        <v>42</v>
      </c>
      <c r="C37" t="s">
        <v>21</v>
      </c>
      <c r="D37" t="s">
        <v>53</v>
      </c>
      <c r="E37">
        <f>IF(E36="","",E$32/E36)</f>
        <v>3729.6296296296296</v>
      </c>
      <c r="F37">
        <f>IF(F36="","",F$32/F36)</f>
        <v>3729.6296296296296</v>
      </c>
      <c r="G37">
        <f>IF(G36="","",G$32/G36)</f>
        <v>3729.6296296296296</v>
      </c>
      <c r="H37">
        <f>IF(H36="","",H$32/H36)</f>
        <v>3729.6296296296296</v>
      </c>
      <c r="I37">
        <f t="shared" ref="I37:L37" si="8">IF(I36="","",I$32/I36)</f>
        <v>3729.6296296296296</v>
      </c>
      <c r="J37">
        <f t="shared" si="8"/>
        <v>4195.833333333333</v>
      </c>
      <c r="K37" t="e">
        <f t="shared" si="8"/>
        <v>#DIV/0!</v>
      </c>
      <c r="L37" t="e">
        <f t="shared" si="8"/>
        <v>#DIV/0!</v>
      </c>
    </row>
    <row r="38" spans="1:12" x14ac:dyDescent="0.4">
      <c r="A38" s="1"/>
      <c r="B38" t="s">
        <v>54</v>
      </c>
      <c r="C38" t="s">
        <v>83</v>
      </c>
      <c r="D38" t="s">
        <v>96</v>
      </c>
      <c r="E38" s="4">
        <f>E19+E21</f>
        <v>506428</v>
      </c>
      <c r="F38" s="4">
        <f>F19+F21</f>
        <v>515618</v>
      </c>
      <c r="G38" s="4">
        <f>G19+G21</f>
        <v>515843</v>
      </c>
      <c r="H38" s="4">
        <f>H19+H21</f>
        <v>511862</v>
      </c>
      <c r="I38" s="4">
        <f t="shared" ref="I38:K38" si="9">I19+I21</f>
        <v>506913</v>
      </c>
      <c r="J38" s="4">
        <f t="shared" si="9"/>
        <v>0</v>
      </c>
      <c r="K38" s="4">
        <f t="shared" si="9"/>
        <v>0</v>
      </c>
      <c r="L38" s="4">
        <f t="shared" ref="L38" si="10">L19+L21</f>
        <v>0</v>
      </c>
    </row>
    <row r="39" spans="1:12" x14ac:dyDescent="0.4">
      <c r="A39" s="1"/>
      <c r="B39" t="s">
        <v>56</v>
      </c>
      <c r="C39" t="s">
        <v>83</v>
      </c>
      <c r="D39" t="s">
        <v>57</v>
      </c>
      <c r="E39" s="4">
        <f>E20</f>
        <v>12948</v>
      </c>
      <c r="F39" s="4">
        <f>F20</f>
        <v>12460</v>
      </c>
      <c r="G39" s="4">
        <f>G20</f>
        <v>12436</v>
      </c>
      <c r="H39" s="4">
        <f>H20</f>
        <v>13388</v>
      </c>
      <c r="I39" s="4">
        <f t="shared" ref="I39:K39" si="11">I20</f>
        <v>12948</v>
      </c>
      <c r="J39" s="4">
        <f t="shared" si="11"/>
        <v>0</v>
      </c>
      <c r="K39" s="4">
        <f t="shared" si="11"/>
        <v>0</v>
      </c>
      <c r="L39" s="4">
        <f t="shared" ref="L39" si="12">L20</f>
        <v>0</v>
      </c>
    </row>
    <row r="40" spans="1:12" x14ac:dyDescent="0.4">
      <c r="A40" s="1"/>
      <c r="B40" t="s">
        <v>59</v>
      </c>
      <c r="C40" t="s">
        <v>83</v>
      </c>
      <c r="D40" t="s">
        <v>60</v>
      </c>
      <c r="E40" s="4">
        <f>E22+E23+E24+E25</f>
        <v>88428</v>
      </c>
      <c r="F40" s="4">
        <f>F22+F23+F24+F25</f>
        <v>76942</v>
      </c>
      <c r="G40" s="4">
        <f>G22+G23+G24+G25</f>
        <v>74933</v>
      </c>
      <c r="H40" s="4">
        <f>H22+H23+H24+H25</f>
        <v>84076</v>
      </c>
      <c r="I40" s="4">
        <f t="shared" ref="I40:K40" si="13">I22+I23+I24+I25</f>
        <v>81758</v>
      </c>
      <c r="J40" s="4">
        <f t="shared" si="13"/>
        <v>0</v>
      </c>
      <c r="K40" s="4">
        <f t="shared" si="13"/>
        <v>0</v>
      </c>
      <c r="L40" s="4">
        <f t="shared" ref="L40" si="14">L22+L23+L24+L25</f>
        <v>0</v>
      </c>
    </row>
    <row r="41" spans="1:12" x14ac:dyDescent="0.4">
      <c r="A41" s="1"/>
      <c r="B41" t="s">
        <v>82</v>
      </c>
      <c r="C41" t="s">
        <v>83</v>
      </c>
      <c r="E41" s="4">
        <f>E18</f>
        <v>607806</v>
      </c>
      <c r="F41" s="4">
        <f>F18</f>
        <v>605018</v>
      </c>
      <c r="G41" s="4">
        <f>G18</f>
        <v>603210</v>
      </c>
      <c r="H41" s="4">
        <f>H18</f>
        <v>609326</v>
      </c>
      <c r="I41" s="4">
        <f t="shared" ref="I41:K41" si="15">I18</f>
        <v>601619</v>
      </c>
      <c r="J41" s="4">
        <f t="shared" si="15"/>
        <v>0</v>
      </c>
      <c r="K41" s="4">
        <f t="shared" si="15"/>
        <v>0</v>
      </c>
      <c r="L41" s="4">
        <f t="shared" ref="L41" si="16">L18</f>
        <v>0</v>
      </c>
    </row>
    <row r="42" spans="1:12" x14ac:dyDescent="0.4">
      <c r="A42" s="1"/>
      <c r="B42" t="s">
        <v>93</v>
      </c>
      <c r="C42" t="s">
        <v>21</v>
      </c>
      <c r="D42" t="s">
        <v>62</v>
      </c>
      <c r="E42">
        <f>E33*E37*E41</f>
        <v>226689126666.66669</v>
      </c>
      <c r="F42">
        <f>F33*F37*F41</f>
        <v>225649305925.92593</v>
      </c>
      <c r="G42">
        <f>G33*G37*G41</f>
        <v>224974988888.88889</v>
      </c>
      <c r="H42">
        <f>H33*H37*H41</f>
        <v>227256030370.37039</v>
      </c>
      <c r="I42">
        <f t="shared" ref="I42:L42" si="17">I33*I37*I41</f>
        <v>224381604814.81482</v>
      </c>
      <c r="J42">
        <f t="shared" si="17"/>
        <v>0</v>
      </c>
      <c r="K42" t="e">
        <f t="shared" si="17"/>
        <v>#DIV/0!</v>
      </c>
      <c r="L42" t="e">
        <f t="shared" si="17"/>
        <v>#DIV/0!</v>
      </c>
    </row>
    <row r="43" spans="1:12" x14ac:dyDescent="0.4">
      <c r="A43" s="1"/>
      <c r="B43" t="s">
        <v>94</v>
      </c>
      <c r="C43" t="s">
        <v>21</v>
      </c>
      <c r="D43" t="s">
        <v>95</v>
      </c>
      <c r="E43" s="3">
        <f>E42/3600000000</f>
        <v>62.969201851851857</v>
      </c>
      <c r="F43" s="3">
        <f>F42/3600000000</f>
        <v>62.68036275720165</v>
      </c>
      <c r="G43" s="3">
        <f>G42/3600000000</f>
        <v>62.493052469135804</v>
      </c>
      <c r="H43" s="3">
        <f>H42/3600000000</f>
        <v>63.126675102880661</v>
      </c>
      <c r="I43" s="3">
        <f t="shared" ref="I43:L43" si="18">I42/3600000000</f>
        <v>62.328223559670782</v>
      </c>
      <c r="J43" s="3">
        <f t="shared" si="18"/>
        <v>0</v>
      </c>
      <c r="K43" s="3" t="e">
        <f t="shared" si="18"/>
        <v>#DIV/0!</v>
      </c>
      <c r="L43" s="3" t="e">
        <f t="shared" si="18"/>
        <v>#DIV/0!</v>
      </c>
    </row>
    <row r="44" spans="1:12" x14ac:dyDescent="0.4">
      <c r="A44" s="1"/>
      <c r="B44" t="s">
        <v>44</v>
      </c>
      <c r="C44" t="s">
        <v>80</v>
      </c>
      <c r="E44">
        <v>0.69</v>
      </c>
      <c r="F44">
        <v>0.69</v>
      </c>
      <c r="G44">
        <v>0.69</v>
      </c>
      <c r="H44">
        <v>0.69</v>
      </c>
      <c r="I44">
        <v>0.69</v>
      </c>
      <c r="J44">
        <v>0.69</v>
      </c>
      <c r="K44">
        <v>0.69</v>
      </c>
      <c r="L44">
        <v>0.69</v>
      </c>
    </row>
    <row r="45" spans="1:12" x14ac:dyDescent="0.4">
      <c r="A45" s="12"/>
      <c r="B45" s="12" t="s">
        <v>45</v>
      </c>
      <c r="C45" s="12" t="s">
        <v>21</v>
      </c>
      <c r="D45" s="12" t="s">
        <v>63</v>
      </c>
      <c r="E45" s="13">
        <f>E43*E44</f>
        <v>43.448749277777779</v>
      </c>
      <c r="F45" s="13">
        <f t="shared" ref="F45:K45" si="19">F43*F44</f>
        <v>43.249450302469135</v>
      </c>
      <c r="G45" s="13">
        <f t="shared" si="19"/>
        <v>43.120206203703702</v>
      </c>
      <c r="H45" s="13">
        <f t="shared" si="19"/>
        <v>43.557405820987654</v>
      </c>
      <c r="I45" s="13">
        <f t="shared" si="19"/>
        <v>43.006474256172837</v>
      </c>
      <c r="J45" s="13">
        <f t="shared" si="19"/>
        <v>0</v>
      </c>
      <c r="K45" s="13" t="e">
        <f t="shared" si="19"/>
        <v>#DIV/0!</v>
      </c>
      <c r="L45" s="13" t="e">
        <f t="shared" ref="L45" si="20">L43*L44</f>
        <v>#DIV/0!</v>
      </c>
    </row>
    <row r="46" spans="1:12" x14ac:dyDescent="0.4">
      <c r="A46" s="9" t="s">
        <v>90</v>
      </c>
      <c r="B46" s="10" t="s">
        <v>38</v>
      </c>
      <c r="C46" s="10" t="s">
        <v>80</v>
      </c>
      <c r="D46" s="10" t="s">
        <v>97</v>
      </c>
      <c r="E46" s="10">
        <v>48</v>
      </c>
      <c r="F46" s="10">
        <v>48</v>
      </c>
      <c r="G46" s="10">
        <v>48</v>
      </c>
      <c r="H46" s="10">
        <v>48</v>
      </c>
      <c r="I46" s="10">
        <v>48</v>
      </c>
      <c r="J46" s="10">
        <v>48</v>
      </c>
      <c r="K46" s="10">
        <v>48</v>
      </c>
      <c r="L46" s="10">
        <v>48</v>
      </c>
    </row>
    <row r="47" spans="1:12" x14ac:dyDescent="0.4">
      <c r="A47" s="1"/>
      <c r="B47" t="s">
        <v>39</v>
      </c>
      <c r="C47" s="11" t="s">
        <v>102</v>
      </c>
      <c r="D47" t="s">
        <v>98</v>
      </c>
      <c r="E47">
        <v>0.96</v>
      </c>
      <c r="F47">
        <v>0.96</v>
      </c>
      <c r="G47">
        <v>0.96</v>
      </c>
      <c r="H47">
        <v>0.96</v>
      </c>
      <c r="I47">
        <v>0.96</v>
      </c>
      <c r="J47">
        <v>0.96</v>
      </c>
      <c r="K47">
        <v>0.96</v>
      </c>
      <c r="L47">
        <v>0.96</v>
      </c>
    </row>
    <row r="48" spans="1:12" x14ac:dyDescent="0.4">
      <c r="A48" s="1"/>
      <c r="B48" t="s">
        <v>41</v>
      </c>
      <c r="C48" t="s">
        <v>21</v>
      </c>
      <c r="D48" t="s">
        <v>52</v>
      </c>
      <c r="E48">
        <f>E$36*(E46/E$34)</f>
        <v>54</v>
      </c>
      <c r="F48">
        <f>F$36*(F46/F$34)</f>
        <v>54</v>
      </c>
      <c r="G48">
        <f>G$36*(G46/G$34)</f>
        <v>54</v>
      </c>
      <c r="H48">
        <f>H$36*(H46/H$34)</f>
        <v>54</v>
      </c>
      <c r="I48">
        <f t="shared" ref="I48:K48" si="21">I$36*(I46/I$34)</f>
        <v>54</v>
      </c>
      <c r="J48">
        <f t="shared" si="21"/>
        <v>48</v>
      </c>
      <c r="K48">
        <f t="shared" si="21"/>
        <v>0</v>
      </c>
      <c r="L48">
        <f t="shared" ref="L48" si="22">L$36*(L46/L$34)</f>
        <v>0</v>
      </c>
    </row>
    <row r="49" spans="1:12" x14ac:dyDescent="0.4">
      <c r="A49" s="1"/>
      <c r="B49" t="s">
        <v>42</v>
      </c>
      <c r="C49" t="s">
        <v>21</v>
      </c>
      <c r="D49" t="s">
        <v>53</v>
      </c>
      <c r="E49">
        <f>IF(E48="","",E$32/E48)</f>
        <v>1864.8148148148148</v>
      </c>
      <c r="F49">
        <f>IF(F48="","",F$32/F48)</f>
        <v>1864.8148148148148</v>
      </c>
      <c r="G49">
        <f>IF(G48="","",G$32/G48)</f>
        <v>1864.8148148148148</v>
      </c>
      <c r="H49">
        <f>IF(H48="","",H$32/H48)</f>
        <v>1864.8148148148148</v>
      </c>
      <c r="I49">
        <f t="shared" ref="I49:L49" si="23">IF(I48="","",I$32/I48)</f>
        <v>1864.8148148148148</v>
      </c>
      <c r="J49">
        <f t="shared" si="23"/>
        <v>2097.9166666666665</v>
      </c>
      <c r="K49" t="e">
        <f t="shared" si="23"/>
        <v>#DIV/0!</v>
      </c>
      <c r="L49" t="e">
        <f t="shared" si="23"/>
        <v>#DIV/0!</v>
      </c>
    </row>
    <row r="50" spans="1:12" x14ac:dyDescent="0.4">
      <c r="A50" s="1"/>
      <c r="B50" t="s">
        <v>54</v>
      </c>
      <c r="C50" t="s">
        <v>21</v>
      </c>
      <c r="D50" t="s">
        <v>55</v>
      </c>
      <c r="E50">
        <f>E$38*(E$35/E47)</f>
        <v>532804.45833333337</v>
      </c>
      <c r="F50">
        <f>F$38*(F$35/F47)</f>
        <v>542473.10416666674</v>
      </c>
      <c r="G50">
        <f>G$38*(G$35/G47)</f>
        <v>542709.82291666674</v>
      </c>
      <c r="H50">
        <f>H$38*(H$35/H47)</f>
        <v>538521.47916666674</v>
      </c>
      <c r="I50">
        <f t="shared" ref="I50:K50" si="24">I$38*(I$35/I47)</f>
        <v>533314.71875000012</v>
      </c>
      <c r="J50">
        <f t="shared" si="24"/>
        <v>0</v>
      </c>
      <c r="K50">
        <f t="shared" si="24"/>
        <v>0</v>
      </c>
      <c r="L50">
        <f t="shared" ref="L50" si="25">L$38*(L$35/L47)</f>
        <v>0</v>
      </c>
    </row>
    <row r="51" spans="1:12" x14ac:dyDescent="0.4">
      <c r="A51" s="1"/>
      <c r="B51" t="s">
        <v>56</v>
      </c>
      <c r="C51" t="s">
        <v>21</v>
      </c>
      <c r="D51" t="s">
        <v>58</v>
      </c>
      <c r="E51" s="4">
        <f>E$39</f>
        <v>12948</v>
      </c>
      <c r="F51" s="4">
        <f>F$39</f>
        <v>12460</v>
      </c>
      <c r="G51" s="4">
        <f>G$39</f>
        <v>12436</v>
      </c>
      <c r="H51" s="4">
        <f>H$39</f>
        <v>13388</v>
      </c>
      <c r="I51" s="4">
        <f t="shared" ref="I51:L51" si="26">I$39</f>
        <v>12948</v>
      </c>
      <c r="J51" s="4">
        <f t="shared" si="26"/>
        <v>0</v>
      </c>
      <c r="K51" s="4">
        <f t="shared" si="26"/>
        <v>0</v>
      </c>
      <c r="L51" s="4">
        <f t="shared" si="26"/>
        <v>0</v>
      </c>
    </row>
    <row r="52" spans="1:12" x14ac:dyDescent="0.4">
      <c r="A52" s="1"/>
      <c r="B52" t="s">
        <v>59</v>
      </c>
      <c r="C52" t="s">
        <v>21</v>
      </c>
      <c r="D52" t="s">
        <v>60</v>
      </c>
      <c r="E52" s="4">
        <f>E$40</f>
        <v>88428</v>
      </c>
      <c r="F52" s="4">
        <f>F$40</f>
        <v>76942</v>
      </c>
      <c r="G52" s="4">
        <f>G$40</f>
        <v>74933</v>
      </c>
      <c r="H52" s="4">
        <f>H$40</f>
        <v>84076</v>
      </c>
      <c r="I52" s="4">
        <f t="shared" ref="I52:L52" si="27">I$40</f>
        <v>81758</v>
      </c>
      <c r="J52" s="4">
        <f t="shared" si="27"/>
        <v>0</v>
      </c>
      <c r="K52" s="4">
        <f t="shared" si="27"/>
        <v>0</v>
      </c>
      <c r="L52" s="4">
        <f t="shared" si="27"/>
        <v>0</v>
      </c>
    </row>
    <row r="53" spans="1:12" x14ac:dyDescent="0.4">
      <c r="A53" s="1"/>
      <c r="B53" t="s">
        <v>43</v>
      </c>
      <c r="C53" t="s">
        <v>21</v>
      </c>
      <c r="D53" t="s">
        <v>61</v>
      </c>
      <c r="E53">
        <f>SUM(E50:E52)</f>
        <v>634180.45833333337</v>
      </c>
      <c r="F53">
        <f>SUM(F50:F52)</f>
        <v>631875.10416666674</v>
      </c>
      <c r="G53">
        <f>SUM(G50:G52)</f>
        <v>630078.82291666674</v>
      </c>
      <c r="H53">
        <f>SUM(H50:H52)</f>
        <v>635985.47916666674</v>
      </c>
      <c r="I53">
        <f t="shared" ref="I53:L53" si="28">SUM(I50:I52)</f>
        <v>628020.71875000012</v>
      </c>
      <c r="J53">
        <f t="shared" si="28"/>
        <v>0</v>
      </c>
      <c r="K53">
        <f t="shared" si="28"/>
        <v>0</v>
      </c>
      <c r="L53">
        <f t="shared" si="28"/>
        <v>0</v>
      </c>
    </row>
    <row r="54" spans="1:12" x14ac:dyDescent="0.4">
      <c r="A54" s="1"/>
      <c r="B54" t="s">
        <v>93</v>
      </c>
      <c r="C54" t="s">
        <v>21</v>
      </c>
      <c r="D54" t="s">
        <v>62</v>
      </c>
      <c r="E54">
        <f>E$33*E49*E53</f>
        <v>118262911396.60495</v>
      </c>
      <c r="F54">
        <f>F$33*F49*F53</f>
        <v>117833005536.26546</v>
      </c>
      <c r="G54">
        <f>G$33*G49*G53</f>
        <v>117498032347.60805</v>
      </c>
      <c r="H54">
        <f>H$33*H49*H53</f>
        <v>118599514355.7099</v>
      </c>
      <c r="I54">
        <f t="shared" ref="I54:L54" si="29">I$33*I49*I53</f>
        <v>117114234033.56483</v>
      </c>
      <c r="J54">
        <f t="shared" si="29"/>
        <v>0</v>
      </c>
      <c r="K54" t="e">
        <f t="shared" si="29"/>
        <v>#DIV/0!</v>
      </c>
      <c r="L54" t="e">
        <f t="shared" si="29"/>
        <v>#DIV/0!</v>
      </c>
    </row>
    <row r="55" spans="1:12" x14ac:dyDescent="0.4">
      <c r="A55" s="1"/>
      <c r="B55" t="s">
        <v>94</v>
      </c>
      <c r="C55" t="s">
        <v>21</v>
      </c>
      <c r="D55" t="s">
        <v>95</v>
      </c>
      <c r="E55" s="3">
        <f>E54/3600000000</f>
        <v>32.850808721279151</v>
      </c>
      <c r="F55" s="3">
        <f>F54/3600000000</f>
        <v>32.731390426740404</v>
      </c>
      <c r="G55" s="3">
        <f>G54/3600000000</f>
        <v>32.638342318780012</v>
      </c>
      <c r="H55" s="3">
        <f>H54/3600000000</f>
        <v>32.94430954325275</v>
      </c>
      <c r="I55" s="3">
        <f t="shared" ref="I55:L55" si="30">I54/3600000000</f>
        <v>32.53173167599023</v>
      </c>
      <c r="J55" s="3">
        <f t="shared" si="30"/>
        <v>0</v>
      </c>
      <c r="K55" s="3" t="e">
        <f t="shared" si="30"/>
        <v>#DIV/0!</v>
      </c>
      <c r="L55" s="3" t="e">
        <f t="shared" si="30"/>
        <v>#DIV/0!</v>
      </c>
    </row>
    <row r="56" spans="1:12" x14ac:dyDescent="0.4">
      <c r="A56" s="1"/>
      <c r="B56" t="s">
        <v>44</v>
      </c>
      <c r="C56" t="s">
        <v>80</v>
      </c>
      <c r="E56">
        <v>0.77</v>
      </c>
      <c r="F56">
        <v>0.77</v>
      </c>
      <c r="G56">
        <v>0.77</v>
      </c>
      <c r="H56">
        <v>0.77</v>
      </c>
      <c r="I56">
        <v>0.77</v>
      </c>
      <c r="J56">
        <v>0.77</v>
      </c>
      <c r="K56">
        <v>0.77</v>
      </c>
      <c r="L56">
        <v>0.77</v>
      </c>
    </row>
    <row r="57" spans="1:12" x14ac:dyDescent="0.4">
      <c r="A57" s="12"/>
      <c r="B57" s="12" t="s">
        <v>45</v>
      </c>
      <c r="C57" s="12" t="s">
        <v>21</v>
      </c>
      <c r="D57" s="12" t="s">
        <v>63</v>
      </c>
      <c r="E57" s="13">
        <f>E55*E56</f>
        <v>25.295122715384945</v>
      </c>
      <c r="F57" s="13">
        <f t="shared" ref="F57:K57" si="31">F55*F56</f>
        <v>25.203170628590112</v>
      </c>
      <c r="G57" s="13">
        <f t="shared" si="31"/>
        <v>25.131523585460609</v>
      </c>
      <c r="H57" s="13">
        <f t="shared" si="31"/>
        <v>25.367118348304619</v>
      </c>
      <c r="I57" s="13">
        <f t="shared" si="31"/>
        <v>25.049433390512476</v>
      </c>
      <c r="J57" s="13">
        <f t="shared" si="31"/>
        <v>0</v>
      </c>
      <c r="K57" s="13" t="e">
        <f t="shared" si="31"/>
        <v>#DIV/0!</v>
      </c>
      <c r="L57" s="13" t="e">
        <f t="shared" ref="L57" si="32">L55*L56</f>
        <v>#DIV/0!</v>
      </c>
    </row>
    <row r="58" spans="1:12" x14ac:dyDescent="0.4">
      <c r="A58" s="9" t="s">
        <v>91</v>
      </c>
      <c r="B58" s="10" t="s">
        <v>38</v>
      </c>
      <c r="C58" s="10" t="s">
        <v>80</v>
      </c>
      <c r="D58" s="10" t="s">
        <v>97</v>
      </c>
      <c r="E58" s="10">
        <v>96</v>
      </c>
      <c r="F58" s="10">
        <v>96</v>
      </c>
      <c r="G58" s="10">
        <v>96</v>
      </c>
      <c r="H58" s="10">
        <v>96</v>
      </c>
      <c r="I58" s="10">
        <v>96</v>
      </c>
      <c r="J58" s="10">
        <v>96</v>
      </c>
      <c r="K58" s="10">
        <v>96</v>
      </c>
      <c r="L58" s="10">
        <v>96</v>
      </c>
    </row>
    <row r="59" spans="1:12" x14ac:dyDescent="0.4">
      <c r="A59" s="1"/>
      <c r="B59" t="s">
        <v>39</v>
      </c>
      <c r="C59" s="11" t="s">
        <v>101</v>
      </c>
      <c r="D59" t="s">
        <v>98</v>
      </c>
      <c r="E59">
        <v>1.8</v>
      </c>
      <c r="F59">
        <v>1.8</v>
      </c>
      <c r="G59">
        <v>1.8</v>
      </c>
      <c r="H59">
        <v>1.8</v>
      </c>
      <c r="I59">
        <v>1.8</v>
      </c>
      <c r="J59">
        <v>1.8</v>
      </c>
      <c r="K59">
        <v>1.8</v>
      </c>
      <c r="L59">
        <v>1.8</v>
      </c>
    </row>
    <row r="60" spans="1:12" x14ac:dyDescent="0.4">
      <c r="A60" s="1"/>
      <c r="B60" t="s">
        <v>41</v>
      </c>
      <c r="C60" t="s">
        <v>21</v>
      </c>
      <c r="D60" t="s">
        <v>52</v>
      </c>
      <c r="E60">
        <f>E$36*(E58/E$34)</f>
        <v>108</v>
      </c>
      <c r="F60">
        <f>F$36*(F58/F$34)</f>
        <v>108</v>
      </c>
      <c r="G60">
        <f>G$36*(G58/G$34)</f>
        <v>108</v>
      </c>
      <c r="H60">
        <f>H$36*(H58/H$34)</f>
        <v>108</v>
      </c>
      <c r="I60">
        <f t="shared" ref="I60:K60" si="33">I$36*(I58/I$34)</f>
        <v>108</v>
      </c>
      <c r="J60">
        <f t="shared" si="33"/>
        <v>96</v>
      </c>
      <c r="K60">
        <f t="shared" si="33"/>
        <v>0</v>
      </c>
      <c r="L60">
        <f t="shared" ref="L60" si="34">L$36*(L58/L$34)</f>
        <v>0</v>
      </c>
    </row>
    <row r="61" spans="1:12" x14ac:dyDescent="0.4">
      <c r="A61" s="1"/>
      <c r="B61" t="s">
        <v>42</v>
      </c>
      <c r="C61" t="s">
        <v>21</v>
      </c>
      <c r="D61" t="s">
        <v>53</v>
      </c>
      <c r="E61">
        <f>IF(E60="","",E$32/E60)</f>
        <v>932.40740740740739</v>
      </c>
      <c r="F61">
        <f>IF(F60="","",F$32/F60)</f>
        <v>932.40740740740739</v>
      </c>
      <c r="G61">
        <f>IF(G60="","",G$32/G60)</f>
        <v>932.40740740740739</v>
      </c>
      <c r="H61">
        <f>IF(H60="","",H$32/H60)</f>
        <v>932.40740740740739</v>
      </c>
      <c r="I61">
        <f t="shared" ref="I61:L61" si="35">IF(I60="","",I$32/I60)</f>
        <v>932.40740740740739</v>
      </c>
      <c r="J61">
        <f t="shared" si="35"/>
        <v>1048.9583333333333</v>
      </c>
      <c r="K61" t="e">
        <f t="shared" si="35"/>
        <v>#DIV/0!</v>
      </c>
      <c r="L61" t="e">
        <f t="shared" si="35"/>
        <v>#DIV/0!</v>
      </c>
    </row>
    <row r="62" spans="1:12" x14ac:dyDescent="0.4">
      <c r="A62" s="1"/>
      <c r="B62" t="s">
        <v>54</v>
      </c>
      <c r="C62" t="s">
        <v>21</v>
      </c>
      <c r="D62" t="s">
        <v>55</v>
      </c>
      <c r="E62">
        <f>E$38*(E$35/E59)</f>
        <v>284162.37777777779</v>
      </c>
      <c r="F62">
        <f>F$38*(F$35/F59)</f>
        <v>289318.98888888891</v>
      </c>
      <c r="G62">
        <f>G$38*(G$35/G59)</f>
        <v>289445.23888888891</v>
      </c>
      <c r="H62">
        <f>H$38*(H$35/H59)</f>
        <v>287211.45555555559</v>
      </c>
      <c r="I62">
        <f t="shared" ref="I62:K62" si="36">I$38*(I$35/I59)</f>
        <v>284434.51666666666</v>
      </c>
      <c r="J62">
        <f t="shared" si="36"/>
        <v>0</v>
      </c>
      <c r="K62">
        <f t="shared" si="36"/>
        <v>0</v>
      </c>
      <c r="L62">
        <f t="shared" ref="L62" si="37">L$38*(L$35/L59)</f>
        <v>0</v>
      </c>
    </row>
    <row r="63" spans="1:12" x14ac:dyDescent="0.4">
      <c r="A63" s="1"/>
      <c r="B63" t="s">
        <v>56</v>
      </c>
      <c r="C63" t="s">
        <v>21</v>
      </c>
      <c r="D63" t="s">
        <v>58</v>
      </c>
      <c r="E63" s="4">
        <f>E$39</f>
        <v>12948</v>
      </c>
      <c r="F63" s="4">
        <f>F$39</f>
        <v>12460</v>
      </c>
      <c r="G63" s="4">
        <f>G$39</f>
        <v>12436</v>
      </c>
      <c r="H63" s="4">
        <f>H$39</f>
        <v>13388</v>
      </c>
      <c r="I63" s="4">
        <f t="shared" ref="I63:L63" si="38">I$39</f>
        <v>12948</v>
      </c>
      <c r="J63" s="4">
        <f t="shared" si="38"/>
        <v>0</v>
      </c>
      <c r="K63" s="4">
        <f t="shared" si="38"/>
        <v>0</v>
      </c>
      <c r="L63" s="4">
        <f t="shared" si="38"/>
        <v>0</v>
      </c>
    </row>
    <row r="64" spans="1:12" x14ac:dyDescent="0.4">
      <c r="A64" s="1"/>
      <c r="B64" t="s">
        <v>59</v>
      </c>
      <c r="C64" t="s">
        <v>21</v>
      </c>
      <c r="D64" t="s">
        <v>60</v>
      </c>
      <c r="E64" s="4">
        <f>E$40</f>
        <v>88428</v>
      </c>
      <c r="F64" s="4">
        <f>F$40</f>
        <v>76942</v>
      </c>
      <c r="G64" s="4">
        <f>G$40</f>
        <v>74933</v>
      </c>
      <c r="H64" s="4">
        <f>H$40</f>
        <v>84076</v>
      </c>
      <c r="I64" s="4">
        <f t="shared" ref="I64:L64" si="39">I$40</f>
        <v>81758</v>
      </c>
      <c r="J64" s="4">
        <f t="shared" si="39"/>
        <v>0</v>
      </c>
      <c r="K64" s="4">
        <f t="shared" si="39"/>
        <v>0</v>
      </c>
      <c r="L64" s="4">
        <f t="shared" si="39"/>
        <v>0</v>
      </c>
    </row>
    <row r="65" spans="1:12" x14ac:dyDescent="0.4">
      <c r="A65" s="1"/>
      <c r="B65" t="s">
        <v>43</v>
      </c>
      <c r="C65" t="s">
        <v>21</v>
      </c>
      <c r="D65" t="s">
        <v>61</v>
      </c>
      <c r="E65">
        <f>SUM(E62:E64)</f>
        <v>385538.37777777779</v>
      </c>
      <c r="F65">
        <f>SUM(F62:F64)</f>
        <v>378720.98888888891</v>
      </c>
      <c r="G65">
        <f>SUM(G62:G64)</f>
        <v>376814.23888888891</v>
      </c>
      <c r="H65">
        <f>SUM(H62:H64)</f>
        <v>384675.45555555559</v>
      </c>
      <c r="I65">
        <f t="shared" ref="I65:L65" si="40">SUM(I62:I64)</f>
        <v>379140.51666666666</v>
      </c>
      <c r="J65">
        <f t="shared" si="40"/>
        <v>0</v>
      </c>
      <c r="K65">
        <f t="shared" si="40"/>
        <v>0</v>
      </c>
      <c r="L65">
        <f t="shared" si="40"/>
        <v>0</v>
      </c>
    </row>
    <row r="66" spans="1:12" x14ac:dyDescent="0.4">
      <c r="A66" s="1"/>
      <c r="B66" t="s">
        <v>93</v>
      </c>
      <c r="C66" t="s">
        <v>21</v>
      </c>
      <c r="D66" t="s">
        <v>62</v>
      </c>
      <c r="E66">
        <f>E$33*E61*E65</f>
        <v>35947883927.983543</v>
      </c>
      <c r="F66">
        <f>F$33*F61*F65</f>
        <v>35312225538.065849</v>
      </c>
      <c r="G66">
        <f>G$33*G61*G65</f>
        <v>35134438755.65844</v>
      </c>
      <c r="H66">
        <f>H$33*H61*H65</f>
        <v>35867424420.781898</v>
      </c>
      <c r="I66">
        <f t="shared" ref="I66:L66" si="41">I$33*I61*I65</f>
        <v>35351342618.827164</v>
      </c>
      <c r="J66">
        <f t="shared" si="41"/>
        <v>0</v>
      </c>
      <c r="K66" t="e">
        <f t="shared" si="41"/>
        <v>#DIV/0!</v>
      </c>
      <c r="L66" t="e">
        <f t="shared" si="41"/>
        <v>#DIV/0!</v>
      </c>
    </row>
    <row r="67" spans="1:12" x14ac:dyDescent="0.4">
      <c r="A67" s="1"/>
      <c r="B67" t="s">
        <v>94</v>
      </c>
      <c r="C67" t="s">
        <v>21</v>
      </c>
      <c r="D67" t="s">
        <v>95</v>
      </c>
      <c r="E67" s="3">
        <f>E66/3600000000</f>
        <v>9.9855233133287626</v>
      </c>
      <c r="F67" s="3">
        <f>F66/3600000000</f>
        <v>9.808951538351625</v>
      </c>
      <c r="G67" s="3">
        <f>G66/3600000000</f>
        <v>9.7595663210162336</v>
      </c>
      <c r="H67" s="3">
        <f>H66/3600000000</f>
        <v>9.9631734502171945</v>
      </c>
      <c r="I67" s="3">
        <f t="shared" ref="I67:L67" si="42">I66/3600000000</f>
        <v>9.8198173941186564</v>
      </c>
      <c r="J67" s="3">
        <f t="shared" si="42"/>
        <v>0</v>
      </c>
      <c r="K67" s="3" t="e">
        <f t="shared" si="42"/>
        <v>#DIV/0!</v>
      </c>
      <c r="L67" s="3" t="e">
        <f t="shared" si="42"/>
        <v>#DIV/0!</v>
      </c>
    </row>
    <row r="68" spans="1:12" x14ac:dyDescent="0.4">
      <c r="A68" s="1"/>
      <c r="B68" t="s">
        <v>44</v>
      </c>
      <c r="C68" t="s">
        <v>80</v>
      </c>
      <c r="E68">
        <v>1.99</v>
      </c>
      <c r="F68">
        <v>1.99</v>
      </c>
      <c r="G68">
        <v>1.99</v>
      </c>
      <c r="H68">
        <v>1.99</v>
      </c>
      <c r="I68">
        <v>1.99</v>
      </c>
      <c r="J68">
        <v>1.99</v>
      </c>
      <c r="K68">
        <v>1.99</v>
      </c>
      <c r="L68">
        <v>1.99</v>
      </c>
    </row>
    <row r="69" spans="1:12" x14ac:dyDescent="0.4">
      <c r="A69" s="12"/>
      <c r="B69" s="12" t="s">
        <v>45</v>
      </c>
      <c r="C69" s="12" t="s">
        <v>21</v>
      </c>
      <c r="D69" s="12" t="s">
        <v>63</v>
      </c>
      <c r="E69" s="13">
        <f>E67*E68</f>
        <v>19.871191393524239</v>
      </c>
      <c r="F69" s="13">
        <f t="shared" ref="F69:K69" si="43">F67*F68</f>
        <v>19.519813561319733</v>
      </c>
      <c r="G69" s="13">
        <f>G67*G68</f>
        <v>19.421536978822306</v>
      </c>
      <c r="H69" s="13">
        <f>H67*H68</f>
        <v>19.826715165932217</v>
      </c>
      <c r="I69" s="13">
        <f t="shared" si="43"/>
        <v>19.541436614296128</v>
      </c>
      <c r="J69" s="13">
        <f t="shared" si="43"/>
        <v>0</v>
      </c>
      <c r="K69" s="13" t="e">
        <f t="shared" si="43"/>
        <v>#DIV/0!</v>
      </c>
      <c r="L69" s="13" t="e">
        <f t="shared" ref="L69" si="44">L67*L68</f>
        <v>#DIV/0!</v>
      </c>
    </row>
    <row r="70" spans="1:12" x14ac:dyDescent="0.4">
      <c r="A70" s="9" t="s">
        <v>92</v>
      </c>
      <c r="B70" s="10" t="s">
        <v>38</v>
      </c>
      <c r="C70" s="10" t="s">
        <v>80</v>
      </c>
      <c r="D70" s="10" t="s">
        <v>97</v>
      </c>
      <c r="E70" s="10">
        <v>80</v>
      </c>
      <c r="F70" s="10">
        <v>80</v>
      </c>
      <c r="G70" s="10">
        <v>80</v>
      </c>
      <c r="H70" s="10">
        <v>80</v>
      </c>
      <c r="I70" s="10">
        <v>80</v>
      </c>
      <c r="J70" s="10">
        <v>80</v>
      </c>
      <c r="K70" s="10">
        <v>80</v>
      </c>
      <c r="L70" s="10">
        <v>80</v>
      </c>
    </row>
    <row r="71" spans="1:12" x14ac:dyDescent="0.4">
      <c r="A71" s="1"/>
      <c r="B71" t="s">
        <v>39</v>
      </c>
      <c r="C71" s="11" t="s">
        <v>100</v>
      </c>
      <c r="D71" t="s">
        <v>98</v>
      </c>
      <c r="E71">
        <v>3.3</v>
      </c>
      <c r="F71">
        <v>3.3</v>
      </c>
      <c r="G71">
        <v>3.3</v>
      </c>
      <c r="H71">
        <v>3.3</v>
      </c>
      <c r="I71">
        <v>3.3</v>
      </c>
      <c r="J71">
        <v>3.3</v>
      </c>
      <c r="K71">
        <v>3.3</v>
      </c>
      <c r="L71">
        <v>3.3</v>
      </c>
    </row>
    <row r="72" spans="1:12" x14ac:dyDescent="0.4">
      <c r="A72" s="1"/>
      <c r="B72" t="s">
        <v>41</v>
      </c>
      <c r="C72" t="s">
        <v>21</v>
      </c>
      <c r="D72" t="s">
        <v>52</v>
      </c>
      <c r="E72">
        <f>E$36*(E70/E$34)</f>
        <v>90</v>
      </c>
      <c r="F72">
        <f>F$36*(F70/F$34)</f>
        <v>90</v>
      </c>
      <c r="G72">
        <f>G$36*(G70/G$34)</f>
        <v>90</v>
      </c>
      <c r="H72">
        <f>H$36*(H70/H$34)</f>
        <v>90</v>
      </c>
      <c r="I72">
        <f t="shared" ref="I72:K72" si="45">I$36*(I70/I$34)</f>
        <v>90</v>
      </c>
      <c r="J72">
        <f t="shared" si="45"/>
        <v>80</v>
      </c>
      <c r="K72">
        <f t="shared" si="45"/>
        <v>0</v>
      </c>
      <c r="L72">
        <f t="shared" ref="L72" si="46">L$36*(L70/L$34)</f>
        <v>0</v>
      </c>
    </row>
    <row r="73" spans="1:12" x14ac:dyDescent="0.4">
      <c r="A73" s="1"/>
      <c r="B73" t="s">
        <v>42</v>
      </c>
      <c r="C73" t="s">
        <v>21</v>
      </c>
      <c r="D73" t="s">
        <v>53</v>
      </c>
      <c r="E73">
        <f>IF(E72="","",E$32/E72)</f>
        <v>1118.8888888888889</v>
      </c>
      <c r="F73">
        <f>IF(F72="","",F$32/F72)</f>
        <v>1118.8888888888889</v>
      </c>
      <c r="G73">
        <f>IF(G72="","",G$32/G72)</f>
        <v>1118.8888888888889</v>
      </c>
      <c r="H73">
        <f>IF(H72="","",H$32/H72)</f>
        <v>1118.8888888888889</v>
      </c>
      <c r="I73">
        <f t="shared" ref="I73:L73" si="47">IF(I72="","",I$32/I72)</f>
        <v>1118.8888888888889</v>
      </c>
      <c r="J73">
        <f t="shared" si="47"/>
        <v>1258.75</v>
      </c>
      <c r="K73" t="e">
        <f t="shared" si="47"/>
        <v>#DIV/0!</v>
      </c>
      <c r="L73" t="e">
        <f t="shared" si="47"/>
        <v>#DIV/0!</v>
      </c>
    </row>
    <row r="74" spans="1:12" x14ac:dyDescent="0.4">
      <c r="A74" s="1"/>
      <c r="B74" t="s">
        <v>54</v>
      </c>
      <c r="C74" t="s">
        <v>21</v>
      </c>
      <c r="D74" t="s">
        <v>55</v>
      </c>
      <c r="E74">
        <f>E$38*(E$35/E71)</f>
        <v>154997.66060606061</v>
      </c>
      <c r="F74">
        <f>F$38*(F$35/F71)</f>
        <v>157810.3575757576</v>
      </c>
      <c r="G74">
        <f>G$38*(G$35/G71)</f>
        <v>157879.22121212122</v>
      </c>
      <c r="H74">
        <f>H$38*(H$35/H71)</f>
        <v>156660.79393939395</v>
      </c>
      <c r="I74">
        <f t="shared" ref="I74:K74" si="48">I$38*(I$35/I71)</f>
        <v>155146.1</v>
      </c>
      <c r="J74">
        <f t="shared" si="48"/>
        <v>0</v>
      </c>
      <c r="K74">
        <f t="shared" si="48"/>
        <v>0</v>
      </c>
      <c r="L74">
        <f t="shared" ref="L74" si="49">L$38*(L$35/L71)</f>
        <v>0</v>
      </c>
    </row>
    <row r="75" spans="1:12" x14ac:dyDescent="0.4">
      <c r="A75" s="1"/>
      <c r="B75" t="s">
        <v>56</v>
      </c>
      <c r="C75" t="s">
        <v>21</v>
      </c>
      <c r="D75" t="s">
        <v>58</v>
      </c>
      <c r="E75" s="4">
        <f>E$39</f>
        <v>12948</v>
      </c>
      <c r="F75" s="4">
        <f>F$39</f>
        <v>12460</v>
      </c>
      <c r="G75" s="4">
        <f>G$39</f>
        <v>12436</v>
      </c>
      <c r="H75" s="4">
        <f>H$39</f>
        <v>13388</v>
      </c>
      <c r="I75" s="4">
        <f t="shared" ref="I75:L75" si="50">I$39</f>
        <v>12948</v>
      </c>
      <c r="J75" s="4">
        <f t="shared" si="50"/>
        <v>0</v>
      </c>
      <c r="K75" s="4">
        <f t="shared" si="50"/>
        <v>0</v>
      </c>
      <c r="L75" s="4">
        <f t="shared" si="50"/>
        <v>0</v>
      </c>
    </row>
    <row r="76" spans="1:12" x14ac:dyDescent="0.4">
      <c r="A76" s="1"/>
      <c r="B76" t="s">
        <v>59</v>
      </c>
      <c r="C76" t="s">
        <v>21</v>
      </c>
      <c r="D76" t="s">
        <v>60</v>
      </c>
      <c r="E76" s="4">
        <f>E$40</f>
        <v>88428</v>
      </c>
      <c r="F76" s="4">
        <f>F$40</f>
        <v>76942</v>
      </c>
      <c r="G76" s="4">
        <f>G$40</f>
        <v>74933</v>
      </c>
      <c r="H76" s="4">
        <f>H$40</f>
        <v>84076</v>
      </c>
      <c r="I76" s="4">
        <f t="shared" ref="I76:L76" si="51">I$40</f>
        <v>81758</v>
      </c>
      <c r="J76" s="4">
        <f t="shared" si="51"/>
        <v>0</v>
      </c>
      <c r="K76" s="4">
        <f t="shared" si="51"/>
        <v>0</v>
      </c>
      <c r="L76" s="4">
        <f t="shared" si="51"/>
        <v>0</v>
      </c>
    </row>
    <row r="77" spans="1:12" x14ac:dyDescent="0.4">
      <c r="A77" s="1"/>
      <c r="B77" t="s">
        <v>43</v>
      </c>
      <c r="C77" t="s">
        <v>21</v>
      </c>
      <c r="D77" t="s">
        <v>61</v>
      </c>
      <c r="E77">
        <f>SUM(E74:E76)</f>
        <v>256373.66060606061</v>
      </c>
      <c r="F77">
        <f>SUM(F74:F76)</f>
        <v>247212.3575757576</v>
      </c>
      <c r="G77">
        <f>SUM(G74:G76)</f>
        <v>245248.22121212122</v>
      </c>
      <c r="H77">
        <f>SUM(H74:H76)</f>
        <v>254124.79393939395</v>
      </c>
      <c r="I77">
        <f t="shared" ref="I77:L77" si="52">SUM(I74:I76)</f>
        <v>249852.1</v>
      </c>
      <c r="J77">
        <f t="shared" si="52"/>
        <v>0</v>
      </c>
      <c r="K77">
        <f t="shared" si="52"/>
        <v>0</v>
      </c>
      <c r="L77">
        <f t="shared" si="52"/>
        <v>0</v>
      </c>
    </row>
    <row r="78" spans="1:12" x14ac:dyDescent="0.4">
      <c r="A78" s="1"/>
      <c r="B78" t="s">
        <v>93</v>
      </c>
      <c r="C78" t="s">
        <v>21</v>
      </c>
      <c r="D78" t="s">
        <v>62</v>
      </c>
      <c r="E78">
        <f>E$33*E73*E77</f>
        <v>28685364025.589226</v>
      </c>
      <c r="F78">
        <f>F$33*F73*F77</f>
        <v>27660316008.754211</v>
      </c>
      <c r="G78">
        <f>G$33*G73*G77</f>
        <v>27440550973.400677</v>
      </c>
      <c r="H78">
        <f>H$33*H73*H77</f>
        <v>28433740832.996635</v>
      </c>
      <c r="I78">
        <f t="shared" ref="I78:L78" si="53">I$33*I73*I77</f>
        <v>27955673855.555557</v>
      </c>
      <c r="J78">
        <f t="shared" si="53"/>
        <v>0</v>
      </c>
      <c r="K78" t="e">
        <f t="shared" si="53"/>
        <v>#DIV/0!</v>
      </c>
      <c r="L78" t="e">
        <f t="shared" si="53"/>
        <v>#DIV/0!</v>
      </c>
    </row>
    <row r="79" spans="1:12" x14ac:dyDescent="0.4">
      <c r="A79" s="1"/>
      <c r="B79" t="s">
        <v>94</v>
      </c>
      <c r="C79" t="s">
        <v>21</v>
      </c>
      <c r="D79" t="s">
        <v>95</v>
      </c>
      <c r="E79" s="3">
        <f>E78/3600000000</f>
        <v>7.9681566737747849</v>
      </c>
      <c r="F79" s="3">
        <f>F78/3600000000</f>
        <v>7.6834211135428365</v>
      </c>
      <c r="G79" s="3">
        <f>G78/3600000000</f>
        <v>7.6223752703890773</v>
      </c>
      <c r="H79" s="3">
        <f>H78/3600000000</f>
        <v>7.8982613424990653</v>
      </c>
      <c r="I79" s="3">
        <f t="shared" ref="I79:L79" si="54">I78/3600000000</f>
        <v>7.7654649598765433</v>
      </c>
      <c r="J79" s="3">
        <f t="shared" si="54"/>
        <v>0</v>
      </c>
      <c r="K79" s="3" t="e">
        <f t="shared" si="54"/>
        <v>#DIV/0!</v>
      </c>
      <c r="L79" s="3" t="e">
        <f t="shared" si="54"/>
        <v>#DIV/0!</v>
      </c>
    </row>
    <row r="80" spans="1:12" x14ac:dyDescent="0.4">
      <c r="A80" s="1"/>
      <c r="B80" t="s">
        <v>44</v>
      </c>
      <c r="C80" t="s">
        <v>80</v>
      </c>
      <c r="E80">
        <v>2.99</v>
      </c>
      <c r="F80">
        <v>2.99</v>
      </c>
      <c r="G80">
        <v>2.99</v>
      </c>
      <c r="H80">
        <v>2.99</v>
      </c>
      <c r="I80">
        <v>2.99</v>
      </c>
      <c r="J80">
        <v>2.99</v>
      </c>
      <c r="K80">
        <v>2.99</v>
      </c>
      <c r="L80">
        <v>2.99</v>
      </c>
    </row>
    <row r="81" spans="1:12" x14ac:dyDescent="0.4">
      <c r="A81" s="12"/>
      <c r="B81" s="12" t="s">
        <v>45</v>
      </c>
      <c r="C81" s="12" t="s">
        <v>21</v>
      </c>
      <c r="D81" s="12" t="s">
        <v>63</v>
      </c>
      <c r="E81" s="13">
        <f>E79*E80</f>
        <v>23.82478845458661</v>
      </c>
      <c r="F81" s="13">
        <f t="shared" ref="F81:K81" si="55">F79*F80</f>
        <v>22.973429129493084</v>
      </c>
      <c r="G81" s="13">
        <f t="shared" si="55"/>
        <v>22.790902058463342</v>
      </c>
      <c r="H81" s="13">
        <f t="shared" si="55"/>
        <v>23.615801414072205</v>
      </c>
      <c r="I81" s="13">
        <f t="shared" si="55"/>
        <v>23.218740230030868</v>
      </c>
      <c r="J81" s="13">
        <f t="shared" si="55"/>
        <v>0</v>
      </c>
      <c r="K81" s="13" t="e">
        <f t="shared" si="55"/>
        <v>#DIV/0!</v>
      </c>
      <c r="L81" s="13" t="e">
        <f t="shared" ref="L81" si="56">L79*L80</f>
        <v>#DIV/0!</v>
      </c>
    </row>
    <row r="82" spans="1:12" x14ac:dyDescent="0.4">
      <c r="A82" s="9" t="s">
        <v>46</v>
      </c>
      <c r="B82" s="10" t="s">
        <v>38</v>
      </c>
      <c r="C82" s="10" t="s">
        <v>80</v>
      </c>
      <c r="D82" s="10" t="s">
        <v>97</v>
      </c>
      <c r="E82" s="10">
        <v>180</v>
      </c>
      <c r="F82" s="10">
        <v>180</v>
      </c>
      <c r="G82" s="10">
        <v>180</v>
      </c>
      <c r="H82" s="10">
        <v>180</v>
      </c>
      <c r="I82" s="10">
        <v>180</v>
      </c>
      <c r="J82" s="10">
        <v>180</v>
      </c>
      <c r="K82" s="10">
        <v>180</v>
      </c>
      <c r="L82" s="10">
        <v>180</v>
      </c>
    </row>
    <row r="83" spans="1:12" x14ac:dyDescent="0.4">
      <c r="B83" t="s">
        <v>39</v>
      </c>
      <c r="C83" s="11" t="s">
        <v>99</v>
      </c>
      <c r="D83" t="s">
        <v>98</v>
      </c>
      <c r="E83">
        <v>8</v>
      </c>
      <c r="F83">
        <v>8</v>
      </c>
      <c r="G83">
        <v>8</v>
      </c>
      <c r="H83">
        <v>8</v>
      </c>
      <c r="I83">
        <v>8</v>
      </c>
      <c r="J83">
        <v>8</v>
      </c>
      <c r="K83">
        <v>8</v>
      </c>
      <c r="L83">
        <v>8</v>
      </c>
    </row>
    <row r="84" spans="1:12" x14ac:dyDescent="0.4">
      <c r="B84" t="s">
        <v>41</v>
      </c>
      <c r="C84" t="s">
        <v>21</v>
      </c>
      <c r="D84" t="s">
        <v>52</v>
      </c>
      <c r="E84">
        <f>E$36*(E82/E$34)</f>
        <v>202.5</v>
      </c>
      <c r="F84">
        <f>F$36*(F82/F$34)</f>
        <v>202.5</v>
      </c>
      <c r="G84">
        <f>G$36*(G82/G$34)</f>
        <v>202.5</v>
      </c>
      <c r="H84">
        <f>H$36*(H82/H$34)</f>
        <v>202.5</v>
      </c>
      <c r="I84">
        <f t="shared" ref="I84:K84" si="57">I$36*(I82/I$34)</f>
        <v>202.5</v>
      </c>
      <c r="J84">
        <f t="shared" si="57"/>
        <v>180</v>
      </c>
      <c r="K84">
        <f t="shared" si="57"/>
        <v>0</v>
      </c>
      <c r="L84">
        <f t="shared" ref="L84" si="58">L$36*(L82/L$34)</f>
        <v>0</v>
      </c>
    </row>
    <row r="85" spans="1:12" x14ac:dyDescent="0.4">
      <c r="B85" t="s">
        <v>42</v>
      </c>
      <c r="C85" t="s">
        <v>21</v>
      </c>
      <c r="D85" t="s">
        <v>53</v>
      </c>
      <c r="E85">
        <f>IF(E84="","",E$32/E84)</f>
        <v>497.28395061728395</v>
      </c>
      <c r="F85">
        <f>IF(F84="","",F$32/F84)</f>
        <v>497.28395061728395</v>
      </c>
      <c r="G85">
        <f>IF(G84="","",G$32/G84)</f>
        <v>497.28395061728395</v>
      </c>
      <c r="H85">
        <f>IF(H84="","",H$32/H84)</f>
        <v>497.28395061728395</v>
      </c>
      <c r="I85">
        <f t="shared" ref="I85:L85" si="59">IF(I84="","",I$32/I84)</f>
        <v>497.28395061728395</v>
      </c>
      <c r="J85">
        <f t="shared" si="59"/>
        <v>559.44444444444446</v>
      </c>
      <c r="K85" t="e">
        <f t="shared" si="59"/>
        <v>#DIV/0!</v>
      </c>
      <c r="L85" t="e">
        <f t="shared" si="59"/>
        <v>#DIV/0!</v>
      </c>
    </row>
    <row r="86" spans="1:12" x14ac:dyDescent="0.4">
      <c r="B86" t="s">
        <v>54</v>
      </c>
      <c r="C86" t="s">
        <v>21</v>
      </c>
      <c r="D86" t="s">
        <v>55</v>
      </c>
      <c r="E86">
        <f>E$38*(E$35/E83)</f>
        <v>63936.535000000003</v>
      </c>
      <c r="F86">
        <f>F$38*(F$35/F83)</f>
        <v>65096.772499999999</v>
      </c>
      <c r="G86">
        <f>G$38*(G$35/G83)</f>
        <v>65125.178749999999</v>
      </c>
      <c r="H86">
        <f>H$38*(H$35/H83)</f>
        <v>64622.577499999999</v>
      </c>
      <c r="I86">
        <f t="shared" ref="I86:K86" si="60">I$38*(I$35/I83)</f>
        <v>63997.766250000001</v>
      </c>
      <c r="J86">
        <f t="shared" si="60"/>
        <v>0</v>
      </c>
      <c r="K86">
        <f t="shared" si="60"/>
        <v>0</v>
      </c>
      <c r="L86">
        <f t="shared" ref="L86" si="61">L$38*(L$35/L83)</f>
        <v>0</v>
      </c>
    </row>
    <row r="87" spans="1:12" x14ac:dyDescent="0.4">
      <c r="B87" t="s">
        <v>56</v>
      </c>
      <c r="C87" t="s">
        <v>21</v>
      </c>
      <c r="D87" t="s">
        <v>58</v>
      </c>
      <c r="E87" s="4">
        <f>E$39</f>
        <v>12948</v>
      </c>
      <c r="F87" s="4">
        <f>F$39</f>
        <v>12460</v>
      </c>
      <c r="G87" s="4">
        <f>G$39</f>
        <v>12436</v>
      </c>
      <c r="H87" s="4">
        <f>H$39</f>
        <v>13388</v>
      </c>
      <c r="I87" s="4">
        <f t="shared" ref="I87:L87" si="62">I$39</f>
        <v>12948</v>
      </c>
      <c r="J87" s="4">
        <f t="shared" si="62"/>
        <v>0</v>
      </c>
      <c r="K87" s="4">
        <f t="shared" si="62"/>
        <v>0</v>
      </c>
      <c r="L87" s="4">
        <f t="shared" si="62"/>
        <v>0</v>
      </c>
    </row>
    <row r="88" spans="1:12" x14ac:dyDescent="0.4">
      <c r="B88" t="s">
        <v>59</v>
      </c>
      <c r="C88" t="s">
        <v>21</v>
      </c>
      <c r="D88" t="s">
        <v>60</v>
      </c>
      <c r="E88" s="4">
        <f>E$40</f>
        <v>88428</v>
      </c>
      <c r="F88" s="4">
        <f>F$40</f>
        <v>76942</v>
      </c>
      <c r="G88" s="4">
        <f>G$40</f>
        <v>74933</v>
      </c>
      <c r="H88" s="4">
        <f>H$40</f>
        <v>84076</v>
      </c>
      <c r="I88" s="4">
        <f t="shared" ref="I88:L88" si="63">I$40</f>
        <v>81758</v>
      </c>
      <c r="J88" s="4">
        <f t="shared" si="63"/>
        <v>0</v>
      </c>
      <c r="K88" s="4">
        <f t="shared" si="63"/>
        <v>0</v>
      </c>
      <c r="L88" s="4">
        <f t="shared" si="63"/>
        <v>0</v>
      </c>
    </row>
    <row r="89" spans="1:12" x14ac:dyDescent="0.4">
      <c r="B89" t="s">
        <v>43</v>
      </c>
      <c r="C89" t="s">
        <v>21</v>
      </c>
      <c r="D89" t="s">
        <v>61</v>
      </c>
      <c r="E89">
        <f>SUM(E86:E88)</f>
        <v>165312.535</v>
      </c>
      <c r="F89">
        <f>SUM(F86:F88)</f>
        <v>154498.77249999999</v>
      </c>
      <c r="G89">
        <f>SUM(G86:G88)</f>
        <v>152494.17874999999</v>
      </c>
      <c r="H89">
        <f>SUM(H86:H88)</f>
        <v>162086.57750000001</v>
      </c>
      <c r="I89">
        <f t="shared" ref="I89:L89" si="64">SUM(I86:I88)</f>
        <v>158703.76624999999</v>
      </c>
      <c r="J89">
        <f t="shared" si="64"/>
        <v>0</v>
      </c>
      <c r="K89">
        <f t="shared" si="64"/>
        <v>0</v>
      </c>
      <c r="L89">
        <f t="shared" si="64"/>
        <v>0</v>
      </c>
    </row>
    <row r="90" spans="1:12" x14ac:dyDescent="0.4">
      <c r="B90" t="s">
        <v>93</v>
      </c>
      <c r="C90" t="s">
        <v>21</v>
      </c>
      <c r="D90" t="s">
        <v>62</v>
      </c>
      <c r="E90">
        <f>E$33*E85*E89</f>
        <v>8220727049.1358023</v>
      </c>
      <c r="F90">
        <f>F$33*F85*F89</f>
        <v>7682975995.4320974</v>
      </c>
      <c r="G90">
        <f>G$33*G85*G89</f>
        <v>7583290765.4938259</v>
      </c>
      <c r="H90">
        <f>H$33*H85*H89</f>
        <v>8060305360.123457</v>
      </c>
      <c r="I90">
        <f t="shared" ref="I90:L90" si="65">I$33*I85*I89</f>
        <v>7892083585.8641968</v>
      </c>
      <c r="J90">
        <f t="shared" si="65"/>
        <v>0</v>
      </c>
      <c r="K90" t="e">
        <f t="shared" si="65"/>
        <v>#DIV/0!</v>
      </c>
      <c r="L90" t="e">
        <f t="shared" si="65"/>
        <v>#DIV/0!</v>
      </c>
    </row>
    <row r="91" spans="1:12" x14ac:dyDescent="0.4">
      <c r="B91" t="s">
        <v>94</v>
      </c>
      <c r="C91" t="s">
        <v>21</v>
      </c>
      <c r="D91" t="s">
        <v>95</v>
      </c>
      <c r="E91" s="3">
        <f>E90/3600000000</f>
        <v>2.2835352914266118</v>
      </c>
      <c r="F91" s="3">
        <f>F90/3600000000</f>
        <v>2.1341599987311382</v>
      </c>
      <c r="G91" s="3">
        <f>G90/3600000000</f>
        <v>2.1064696570816182</v>
      </c>
      <c r="H91" s="3">
        <f>H90/3600000000</f>
        <v>2.2389737111454049</v>
      </c>
      <c r="I91" s="3">
        <f t="shared" ref="I91:L91" si="66">I90/3600000000</f>
        <v>2.1922454405178327</v>
      </c>
      <c r="J91" s="3">
        <f t="shared" si="66"/>
        <v>0</v>
      </c>
      <c r="K91" s="3" t="e">
        <f t="shared" si="66"/>
        <v>#DIV/0!</v>
      </c>
      <c r="L91" s="3" t="e">
        <f t="shared" si="66"/>
        <v>#DIV/0!</v>
      </c>
    </row>
    <row r="92" spans="1:12" x14ac:dyDescent="0.4">
      <c r="B92" t="s">
        <v>44</v>
      </c>
      <c r="C92" t="s">
        <v>80</v>
      </c>
      <c r="E92">
        <v>5.89</v>
      </c>
      <c r="F92">
        <v>5.89</v>
      </c>
      <c r="G92">
        <v>5.89</v>
      </c>
      <c r="H92">
        <v>5.89</v>
      </c>
      <c r="I92">
        <v>5.89</v>
      </c>
      <c r="J92">
        <v>5.89</v>
      </c>
      <c r="K92">
        <v>5.89</v>
      </c>
      <c r="L92">
        <v>5.89</v>
      </c>
    </row>
    <row r="93" spans="1:12" x14ac:dyDescent="0.4">
      <c r="A93" s="14"/>
      <c r="B93" s="12" t="s">
        <v>45</v>
      </c>
      <c r="C93" s="12" t="s">
        <v>21</v>
      </c>
      <c r="D93" s="12" t="s">
        <v>63</v>
      </c>
      <c r="E93" s="13">
        <f>E91*E92</f>
        <v>13.450022866502742</v>
      </c>
      <c r="F93" s="13">
        <f t="shared" ref="F93:K93" si="67">F91*F92</f>
        <v>12.570202392526403</v>
      </c>
      <c r="G93" s="13">
        <f t="shared" si="67"/>
        <v>12.40710628021073</v>
      </c>
      <c r="H93" s="13">
        <f t="shared" si="67"/>
        <v>13.187555158646434</v>
      </c>
      <c r="I93" s="13">
        <f t="shared" si="67"/>
        <v>12.912325644650034</v>
      </c>
      <c r="J93" s="13">
        <f t="shared" si="67"/>
        <v>0</v>
      </c>
      <c r="K93" s="13" t="e">
        <f t="shared" si="67"/>
        <v>#DIV/0!</v>
      </c>
      <c r="L93" s="13" t="e">
        <f t="shared" ref="L93" si="68">L91*L92</f>
        <v>#DIV/0!</v>
      </c>
    </row>
  </sheetData>
  <hyperlinks>
    <hyperlink ref="C83" r:id="rId1" xr:uid="{0D554E30-EE5F-42F4-A138-A1908E21A4BB}"/>
    <hyperlink ref="C71" r:id="rId2" xr:uid="{71577115-06BE-4208-9FAC-292A96FFC20E}"/>
    <hyperlink ref="C59" r:id="rId3" xr:uid="{637E8CC2-5B22-420C-B4B6-2D1C3BBA96FA}"/>
    <hyperlink ref="C47" r:id="rId4" xr:uid="{19F9B5A0-67BE-424C-AAA9-EF7096EBF0C9}"/>
    <hyperlink ref="C35" r:id="rId5" xr:uid="{566E6DD7-35AB-454B-B265-6191FA3E982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Taylor-Wilmshurst</dc:creator>
  <cp:lastModifiedBy>Sam Taylor-Wilmshurst</cp:lastModifiedBy>
  <dcterms:created xsi:type="dcterms:W3CDTF">2026-07-20T21:44:17Z</dcterms:created>
  <dcterms:modified xsi:type="dcterms:W3CDTF">2026-07-21T15:40:27Z</dcterms:modified>
</cp:coreProperties>
</file>