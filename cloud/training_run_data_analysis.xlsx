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ta\programming\python\yolomg-stw\"/>
    </mc:Choice>
  </mc:AlternateContent>
  <xr:revisionPtr revIDLastSave="0" documentId="13_ncr:1_{4578AE66-5D6B-4A71-B838-6E5E9E47D66F}" xr6:coauthVersionLast="47" xr6:coauthVersionMax="47" xr10:uidLastSave="{00000000-0000-0000-0000-000000000000}"/>
  <bookViews>
    <workbookView xWindow="-103" yWindow="-103" windowWidth="22149" windowHeight="13200" xr2:uid="{0E0F7E5E-85CE-4CEF-BB80-A4BFDD82C8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S53" i="1" l="1"/>
  <c r="T49" i="1"/>
  <c r="T48" i="1"/>
  <c r="T47" i="1"/>
  <c r="T46" i="1"/>
  <c r="T44" i="1"/>
  <c r="T24" i="1"/>
  <c r="T21" i="1"/>
  <c r="S44" i="1"/>
  <c r="S45" i="1" s="1"/>
  <c r="S46" i="1"/>
  <c r="S47" i="1"/>
  <c r="S48" i="1"/>
  <c r="S49" i="1"/>
  <c r="S24" i="1"/>
  <c r="S21" i="1"/>
  <c r="R49" i="1"/>
  <c r="R48" i="1"/>
  <c r="R47" i="1"/>
  <c r="R46" i="1"/>
  <c r="R44" i="1"/>
  <c r="R24" i="1"/>
  <c r="R21" i="1"/>
  <c r="P24" i="1"/>
  <c r="Q49" i="1"/>
  <c r="Q48" i="1"/>
  <c r="Q47" i="1"/>
  <c r="Q46" i="1"/>
  <c r="Q44" i="1"/>
  <c r="Q24" i="1"/>
  <c r="Q21" i="1"/>
  <c r="P49" i="1"/>
  <c r="P48" i="1"/>
  <c r="P47" i="1"/>
  <c r="P46" i="1"/>
  <c r="P44" i="1"/>
  <c r="P21" i="1"/>
  <c r="F21" i="1"/>
  <c r="G21" i="1"/>
  <c r="H21" i="1"/>
  <c r="I21" i="1"/>
  <c r="J21" i="1"/>
  <c r="K21" i="1"/>
  <c r="M21" i="1"/>
  <c r="N21" i="1"/>
  <c r="O21" i="1"/>
  <c r="E21" i="1"/>
  <c r="M44" i="1"/>
  <c r="M80" i="1" s="1"/>
  <c r="M81" i="1" s="1"/>
  <c r="N49" i="1"/>
  <c r="N48" i="1"/>
  <c r="N47" i="1"/>
  <c r="N46" i="1"/>
  <c r="N44" i="1"/>
  <c r="N24" i="1"/>
  <c r="O49" i="1"/>
  <c r="O48" i="1"/>
  <c r="O72" i="1" s="1"/>
  <c r="O47" i="1"/>
  <c r="O71" i="1" s="1"/>
  <c r="O46" i="1"/>
  <c r="O70" i="1" s="1"/>
  <c r="O73" i="1" s="1"/>
  <c r="O44" i="1"/>
  <c r="O24" i="1"/>
  <c r="K46" i="1"/>
  <c r="K70" i="1" s="1"/>
  <c r="K47" i="1"/>
  <c r="K71" i="1" s="1"/>
  <c r="K48" i="1"/>
  <c r="K72" i="1" s="1"/>
  <c r="K49" i="1"/>
  <c r="L46" i="1"/>
  <c r="L70" i="1" s="1"/>
  <c r="L73" i="1" s="1"/>
  <c r="J46" i="1"/>
  <c r="K24" i="1"/>
  <c r="M49" i="1"/>
  <c r="M48" i="1"/>
  <c r="M47" i="1"/>
  <c r="M46" i="1"/>
  <c r="M24" i="1"/>
  <c r="J48" i="1"/>
  <c r="I24" i="1"/>
  <c r="L49" i="1"/>
  <c r="L48" i="1"/>
  <c r="L72" i="1" s="1"/>
  <c r="L47" i="1"/>
  <c r="L71" i="1" s="1"/>
  <c r="L44" i="1"/>
  <c r="I46" i="1"/>
  <c r="I47" i="1"/>
  <c r="J47" i="1"/>
  <c r="I48" i="1"/>
  <c r="I60" i="1" s="1"/>
  <c r="I49" i="1"/>
  <c r="J49" i="1"/>
  <c r="H46" i="1"/>
  <c r="H47" i="1"/>
  <c r="H83" i="1" s="1"/>
  <c r="H48" i="1"/>
  <c r="H84" i="1" s="1"/>
  <c r="H49" i="1"/>
  <c r="G24" i="1"/>
  <c r="H24" i="1"/>
  <c r="J24" i="1"/>
  <c r="G46" i="1"/>
  <c r="G47" i="1"/>
  <c r="G48" i="1"/>
  <c r="G49" i="1"/>
  <c r="F44" i="1"/>
  <c r="F46" i="1"/>
  <c r="F47" i="1"/>
  <c r="F48" i="1"/>
  <c r="F49" i="1"/>
  <c r="E48" i="1"/>
  <c r="E47" i="1"/>
  <c r="E46" i="1"/>
  <c r="E49" i="1"/>
  <c r="F24" i="1"/>
  <c r="G44" i="1"/>
  <c r="H44" i="1"/>
  <c r="I44" i="1"/>
  <c r="J44" i="1"/>
  <c r="K44" i="1"/>
  <c r="K45" i="1" s="1"/>
  <c r="E44" i="1"/>
  <c r="E24" i="1"/>
  <c r="S50" i="1" l="1"/>
  <c r="S51" i="1" s="1"/>
  <c r="T84" i="1"/>
  <c r="T72" i="1"/>
  <c r="T60" i="1"/>
  <c r="T83" i="1"/>
  <c r="T71" i="1"/>
  <c r="T59" i="1"/>
  <c r="T70" i="1"/>
  <c r="T82" i="1"/>
  <c r="T58" i="1"/>
  <c r="T68" i="1"/>
  <c r="T69" i="1" s="1"/>
  <c r="T80" i="1"/>
  <c r="T81" i="1" s="1"/>
  <c r="T56" i="1"/>
  <c r="T57" i="1" s="1"/>
  <c r="T45" i="1"/>
  <c r="T50" i="1" s="1"/>
  <c r="T51" i="1" s="1"/>
  <c r="T53" i="1" s="1"/>
  <c r="S72" i="1"/>
  <c r="S60" i="1"/>
  <c r="S84" i="1"/>
  <c r="S83" i="1"/>
  <c r="S71" i="1"/>
  <c r="S59" i="1"/>
  <c r="S82" i="1"/>
  <c r="S58" i="1"/>
  <c r="S70" i="1"/>
  <c r="S80" i="1"/>
  <c r="S81" i="1" s="1"/>
  <c r="S56" i="1"/>
  <c r="S57" i="1" s="1"/>
  <c r="S68" i="1"/>
  <c r="S69" i="1" s="1"/>
  <c r="F83" i="1"/>
  <c r="F71" i="1"/>
  <c r="R84" i="1"/>
  <c r="R72" i="1"/>
  <c r="R60" i="1"/>
  <c r="R83" i="1"/>
  <c r="R71" i="1"/>
  <c r="R59" i="1"/>
  <c r="R82" i="1"/>
  <c r="R70" i="1"/>
  <c r="R58" i="1"/>
  <c r="R80" i="1"/>
  <c r="R81" i="1" s="1"/>
  <c r="R68" i="1"/>
  <c r="R69" i="1" s="1"/>
  <c r="R56" i="1"/>
  <c r="R57" i="1" s="1"/>
  <c r="R45" i="1"/>
  <c r="R50" i="1" s="1"/>
  <c r="R51" i="1" s="1"/>
  <c r="R53" i="1" s="1"/>
  <c r="Q84" i="1"/>
  <c r="Q72" i="1"/>
  <c r="Q60" i="1"/>
  <c r="Q59" i="1"/>
  <c r="Q83" i="1"/>
  <c r="Q71" i="1"/>
  <c r="Q82" i="1"/>
  <c r="Q70" i="1"/>
  <c r="Q58" i="1"/>
  <c r="Q56" i="1"/>
  <c r="Q57" i="1" s="1"/>
  <c r="Q80" i="1"/>
  <c r="Q81" i="1" s="1"/>
  <c r="Q45" i="1"/>
  <c r="Q50" i="1" s="1"/>
  <c r="Q51" i="1" s="1"/>
  <c r="Q53" i="1" s="1"/>
  <c r="Q68" i="1"/>
  <c r="Q69" i="1" s="1"/>
  <c r="F84" i="1"/>
  <c r="F72" i="1"/>
  <c r="P72" i="1"/>
  <c r="P60" i="1"/>
  <c r="P84" i="1"/>
  <c r="P83" i="1"/>
  <c r="P71" i="1"/>
  <c r="P59" i="1"/>
  <c r="P70" i="1"/>
  <c r="P82" i="1"/>
  <c r="P58" i="1"/>
  <c r="P68" i="1"/>
  <c r="P69" i="1" s="1"/>
  <c r="P45" i="1"/>
  <c r="P50" i="1" s="1"/>
  <c r="P51" i="1" s="1"/>
  <c r="P53" i="1" s="1"/>
  <c r="P80" i="1"/>
  <c r="P81" i="1" s="1"/>
  <c r="P56" i="1"/>
  <c r="P57" i="1" s="1"/>
  <c r="K73" i="1"/>
  <c r="F70" i="1"/>
  <c r="F73" i="1" s="1"/>
  <c r="F82" i="1"/>
  <c r="F85" i="1" s="1"/>
  <c r="N84" i="1"/>
  <c r="N72" i="1"/>
  <c r="N83" i="1"/>
  <c r="N71" i="1"/>
  <c r="N82" i="1"/>
  <c r="N70" i="1"/>
  <c r="N73" i="1" s="1"/>
  <c r="N80" i="1"/>
  <c r="N81" i="1" s="1"/>
  <c r="N56" i="1"/>
  <c r="N57" i="1" s="1"/>
  <c r="M72" i="1"/>
  <c r="M84" i="1"/>
  <c r="M71" i="1"/>
  <c r="M83" i="1"/>
  <c r="M70" i="1"/>
  <c r="M82" i="1"/>
  <c r="N60" i="1"/>
  <c r="N59" i="1"/>
  <c r="N58" i="1"/>
  <c r="N68" i="1"/>
  <c r="N69" i="1" s="1"/>
  <c r="N45" i="1"/>
  <c r="N50" i="1" s="1"/>
  <c r="N51" i="1" s="1"/>
  <c r="N53" i="1" s="1"/>
  <c r="K50" i="1"/>
  <c r="K51" i="1" s="1"/>
  <c r="K53" i="1" s="1"/>
  <c r="O84" i="1"/>
  <c r="O60" i="1"/>
  <c r="O83" i="1"/>
  <c r="O59" i="1"/>
  <c r="O82" i="1"/>
  <c r="O58" i="1"/>
  <c r="O80" i="1"/>
  <c r="O81" i="1" s="1"/>
  <c r="O68" i="1"/>
  <c r="O69" i="1" s="1"/>
  <c r="O74" i="1" s="1"/>
  <c r="O75" i="1" s="1"/>
  <c r="O56" i="1"/>
  <c r="O57" i="1" s="1"/>
  <c r="O45" i="1"/>
  <c r="O50" i="1" s="1"/>
  <c r="O51" i="1" s="1"/>
  <c r="O53" i="1" s="1"/>
  <c r="M60" i="1"/>
  <c r="M59" i="1"/>
  <c r="M58" i="1"/>
  <c r="M45" i="1"/>
  <c r="M50" i="1" s="1"/>
  <c r="M51" i="1" s="1"/>
  <c r="M53" i="1" s="1"/>
  <c r="M56" i="1"/>
  <c r="M57" i="1" s="1"/>
  <c r="M68" i="1"/>
  <c r="M69" i="1" s="1"/>
  <c r="L84" i="1"/>
  <c r="L60" i="1"/>
  <c r="L83" i="1"/>
  <c r="L59" i="1"/>
  <c r="L82" i="1"/>
  <c r="L58" i="1"/>
  <c r="L80" i="1"/>
  <c r="L81" i="1" s="1"/>
  <c r="L56" i="1"/>
  <c r="L57" i="1" s="1"/>
  <c r="L45" i="1"/>
  <c r="L50" i="1" s="1"/>
  <c r="L51" i="1" s="1"/>
  <c r="L53" i="1" s="1"/>
  <c r="L68" i="1"/>
  <c r="L69" i="1" s="1"/>
  <c r="L74" i="1" s="1"/>
  <c r="L75" i="1" s="1"/>
  <c r="H58" i="1"/>
  <c r="H82" i="1"/>
  <c r="H85" i="1" s="1"/>
  <c r="H80" i="1"/>
  <c r="H81" i="1" s="1"/>
  <c r="H68" i="1"/>
  <c r="H69" i="1" s="1"/>
  <c r="H56" i="1"/>
  <c r="H57" i="1" s="1"/>
  <c r="I80" i="1"/>
  <c r="I81" i="1" s="1"/>
  <c r="I68" i="1"/>
  <c r="I69" i="1" s="1"/>
  <c r="I56" i="1"/>
  <c r="I57" i="1" s="1"/>
  <c r="I45" i="1"/>
  <c r="I50" i="1" s="1"/>
  <c r="I51" i="1" s="1"/>
  <c r="I53" i="1" s="1"/>
  <c r="J80" i="1"/>
  <c r="J81" i="1" s="1"/>
  <c r="J68" i="1"/>
  <c r="J69" i="1" s="1"/>
  <c r="J45" i="1"/>
  <c r="J50" i="1" s="1"/>
  <c r="J51" i="1" s="1"/>
  <c r="J53" i="1" s="1"/>
  <c r="J56" i="1"/>
  <c r="J57" i="1" s="1"/>
  <c r="K56" i="1"/>
  <c r="K57" i="1" s="1"/>
  <c r="K68" i="1"/>
  <c r="K69" i="1" s="1"/>
  <c r="K80" i="1"/>
  <c r="K81" i="1" s="1"/>
  <c r="J82" i="1"/>
  <c r="J70" i="1"/>
  <c r="J58" i="1"/>
  <c r="K82" i="1"/>
  <c r="K58" i="1"/>
  <c r="J83" i="1"/>
  <c r="J71" i="1"/>
  <c r="J59" i="1"/>
  <c r="K83" i="1"/>
  <c r="K59" i="1"/>
  <c r="J84" i="1"/>
  <c r="J72" i="1"/>
  <c r="J60" i="1"/>
  <c r="K84" i="1"/>
  <c r="K60" i="1"/>
  <c r="H70" i="1"/>
  <c r="H71" i="1"/>
  <c r="H59" i="1"/>
  <c r="H72" i="1"/>
  <c r="H60" i="1"/>
  <c r="I84" i="1"/>
  <c r="I72" i="1"/>
  <c r="I83" i="1"/>
  <c r="I71" i="1"/>
  <c r="I59" i="1"/>
  <c r="I82" i="1"/>
  <c r="I70" i="1"/>
  <c r="I58" i="1"/>
  <c r="G82" i="1"/>
  <c r="G70" i="1"/>
  <c r="G58" i="1"/>
  <c r="G83" i="1"/>
  <c r="G71" i="1"/>
  <c r="G59" i="1"/>
  <c r="G84" i="1"/>
  <c r="G72" i="1"/>
  <c r="G60" i="1"/>
  <c r="E60" i="1"/>
  <c r="E72" i="1"/>
  <c r="E84" i="1"/>
  <c r="E83" i="1"/>
  <c r="E71" i="1"/>
  <c r="E59" i="1"/>
  <c r="E82" i="1"/>
  <c r="E70" i="1"/>
  <c r="E58" i="1"/>
  <c r="G56" i="1"/>
  <c r="G57" i="1" s="1"/>
  <c r="G68" i="1"/>
  <c r="G69" i="1" s="1"/>
  <c r="G80" i="1"/>
  <c r="G81" i="1" s="1"/>
  <c r="G45" i="1"/>
  <c r="G50" i="1" s="1"/>
  <c r="G51" i="1" s="1"/>
  <c r="G53" i="1" s="1"/>
  <c r="H45" i="1"/>
  <c r="H50" i="1" s="1"/>
  <c r="H51" i="1" s="1"/>
  <c r="H53" i="1" s="1"/>
  <c r="E45" i="1"/>
  <c r="E50" i="1" s="1"/>
  <c r="E51" i="1" s="1"/>
  <c r="E53" i="1" s="1"/>
  <c r="E80" i="1"/>
  <c r="E81" i="1" s="1"/>
  <c r="E68" i="1"/>
  <c r="E69" i="1" s="1"/>
  <c r="E56" i="1"/>
  <c r="E57" i="1" s="1"/>
  <c r="F45" i="1"/>
  <c r="F50" i="1" s="1"/>
  <c r="F51" i="1" s="1"/>
  <c r="F53" i="1" s="1"/>
  <c r="F56" i="1"/>
  <c r="F57" i="1" s="1"/>
  <c r="F68" i="1"/>
  <c r="F69" i="1" s="1"/>
  <c r="F80" i="1"/>
  <c r="F81" i="1" s="1"/>
  <c r="F58" i="1"/>
  <c r="F59" i="1"/>
  <c r="F60" i="1"/>
  <c r="T85" i="1" l="1"/>
  <c r="T86" i="1" s="1"/>
  <c r="T87" i="1" s="1"/>
  <c r="T89" i="1" s="1"/>
  <c r="T61" i="1"/>
  <c r="T62" i="1" s="1"/>
  <c r="T63" i="1" s="1"/>
  <c r="T65" i="1" s="1"/>
  <c r="T73" i="1"/>
  <c r="T74" i="1" s="1"/>
  <c r="T75" i="1" s="1"/>
  <c r="T77" i="1" s="1"/>
  <c r="S85" i="1"/>
  <c r="S86" i="1" s="1"/>
  <c r="S87" i="1" s="1"/>
  <c r="S89" i="1" s="1"/>
  <c r="S61" i="1"/>
  <c r="S62" i="1" s="1"/>
  <c r="S63" i="1" s="1"/>
  <c r="S65" i="1" s="1"/>
  <c r="S73" i="1"/>
  <c r="S74" i="1" s="1"/>
  <c r="S75" i="1" s="1"/>
  <c r="S77" i="1" s="1"/>
  <c r="R85" i="1"/>
  <c r="R86" i="1" s="1"/>
  <c r="R87" i="1" s="1"/>
  <c r="R89" i="1" s="1"/>
  <c r="R73" i="1"/>
  <c r="R74" i="1" s="1"/>
  <c r="R75" i="1" s="1"/>
  <c r="R77" i="1" s="1"/>
  <c r="R61" i="1"/>
  <c r="R62" i="1" s="1"/>
  <c r="R63" i="1" s="1"/>
  <c r="R65" i="1" s="1"/>
  <c r="Q61" i="1"/>
  <c r="Q62" i="1" s="1"/>
  <c r="Q63" i="1" s="1"/>
  <c r="Q65" i="1" s="1"/>
  <c r="Q73" i="1"/>
  <c r="Q74" i="1" s="1"/>
  <c r="Q75" i="1" s="1"/>
  <c r="Q77" i="1" s="1"/>
  <c r="Q85" i="1"/>
  <c r="Q86" i="1" s="1"/>
  <c r="Q87" i="1" s="1"/>
  <c r="Q89" i="1" s="1"/>
  <c r="P73" i="1"/>
  <c r="P74" i="1" s="1"/>
  <c r="P75" i="1" s="1"/>
  <c r="P77" i="1" s="1"/>
  <c r="P85" i="1"/>
  <c r="P86" i="1" s="1"/>
  <c r="P87" i="1" s="1"/>
  <c r="P89" i="1" s="1"/>
  <c r="P61" i="1"/>
  <c r="P62" i="1" s="1"/>
  <c r="P63" i="1" s="1"/>
  <c r="P65" i="1" s="1"/>
  <c r="E85" i="1"/>
  <c r="E86" i="1" s="1"/>
  <c r="E87" i="1" s="1"/>
  <c r="E89" i="1" s="1"/>
  <c r="E73" i="1"/>
  <c r="E74" i="1" s="1"/>
  <c r="E75" i="1" s="1"/>
  <c r="E77" i="1" s="1"/>
  <c r="E61" i="1"/>
  <c r="E62" i="1" s="1"/>
  <c r="E63" i="1" s="1"/>
  <c r="E65" i="1" s="1"/>
  <c r="M61" i="1"/>
  <c r="M62" i="1" s="1"/>
  <c r="M63" i="1" s="1"/>
  <c r="M65" i="1" s="1"/>
  <c r="N61" i="1"/>
  <c r="N62" i="1" s="1"/>
  <c r="N63" i="1" s="1"/>
  <c r="N65" i="1" s="1"/>
  <c r="N85" i="1"/>
  <c r="N86" i="1" s="1"/>
  <c r="N87" i="1" s="1"/>
  <c r="N89" i="1" s="1"/>
  <c r="M73" i="1"/>
  <c r="M74" i="1" s="1"/>
  <c r="M75" i="1" s="1"/>
  <c r="M77" i="1" s="1"/>
  <c r="M85" i="1"/>
  <c r="M86" i="1" s="1"/>
  <c r="M87" i="1" s="1"/>
  <c r="M89" i="1" s="1"/>
  <c r="N74" i="1"/>
  <c r="N75" i="1" s="1"/>
  <c r="N77" i="1" s="1"/>
  <c r="K74" i="1"/>
  <c r="K75" i="1" s="1"/>
  <c r="K77" i="1" s="1"/>
  <c r="H86" i="1"/>
  <c r="H87" i="1" s="1"/>
  <c r="H89" i="1" s="1"/>
  <c r="O85" i="1"/>
  <c r="O86" i="1" s="1"/>
  <c r="O87" i="1" s="1"/>
  <c r="O89" i="1" s="1"/>
  <c r="O77" i="1"/>
  <c r="O61" i="1"/>
  <c r="O62" i="1" s="1"/>
  <c r="O63" i="1" s="1"/>
  <c r="O65" i="1" s="1"/>
  <c r="L85" i="1"/>
  <c r="L86" i="1" s="1"/>
  <c r="L87" i="1" s="1"/>
  <c r="L89" i="1" s="1"/>
  <c r="L61" i="1"/>
  <c r="L62" i="1" s="1"/>
  <c r="L63" i="1" s="1"/>
  <c r="L65" i="1" s="1"/>
  <c r="F74" i="1"/>
  <c r="F75" i="1" s="1"/>
  <c r="F77" i="1" s="1"/>
  <c r="L77" i="1"/>
  <c r="F86" i="1"/>
  <c r="F87" i="1" s="1"/>
  <c r="F89" i="1" s="1"/>
  <c r="G85" i="1"/>
  <c r="G86" i="1" s="1"/>
  <c r="G87" i="1" s="1"/>
  <c r="G89" i="1" s="1"/>
  <c r="J85" i="1"/>
  <c r="J86" i="1" s="1"/>
  <c r="J87" i="1" s="1"/>
  <c r="J89" i="1" s="1"/>
  <c r="J73" i="1"/>
  <c r="J74" i="1" s="1"/>
  <c r="J75" i="1" s="1"/>
  <c r="J77" i="1" s="1"/>
  <c r="J61" i="1"/>
  <c r="J62" i="1" s="1"/>
  <c r="J63" i="1" s="1"/>
  <c r="J65" i="1" s="1"/>
  <c r="K85" i="1"/>
  <c r="K86" i="1" s="1"/>
  <c r="K87" i="1" s="1"/>
  <c r="K89" i="1" s="1"/>
  <c r="K61" i="1"/>
  <c r="K62" i="1" s="1"/>
  <c r="K63" i="1" s="1"/>
  <c r="K65" i="1" s="1"/>
  <c r="H73" i="1"/>
  <c r="H74" i="1" s="1"/>
  <c r="H75" i="1" s="1"/>
  <c r="H77" i="1" s="1"/>
  <c r="H61" i="1"/>
  <c r="H62" i="1" s="1"/>
  <c r="H63" i="1" s="1"/>
  <c r="H65" i="1" s="1"/>
  <c r="G73" i="1"/>
  <c r="G74" i="1" s="1"/>
  <c r="G75" i="1" s="1"/>
  <c r="G77" i="1" s="1"/>
  <c r="G61" i="1"/>
  <c r="G62" i="1" s="1"/>
  <c r="G63" i="1" s="1"/>
  <c r="G65" i="1" s="1"/>
  <c r="I85" i="1"/>
  <c r="I86" i="1" s="1"/>
  <c r="I87" i="1" s="1"/>
  <c r="I89" i="1" s="1"/>
  <c r="I73" i="1"/>
  <c r="I74" i="1" s="1"/>
  <c r="I75" i="1" s="1"/>
  <c r="I77" i="1" s="1"/>
  <c r="I61" i="1"/>
  <c r="I62" i="1" s="1"/>
  <c r="I63" i="1" s="1"/>
  <c r="I65" i="1" s="1"/>
  <c r="F61" i="1"/>
  <c r="F62" i="1" s="1"/>
  <c r="F63" i="1" s="1"/>
  <c r="F65" i="1" s="1"/>
</calcChain>
</file>

<file path=xl/sharedStrings.xml><?xml version="1.0" encoding="utf-8"?>
<sst xmlns="http://schemas.openxmlformats.org/spreadsheetml/2006/main" count="290" uniqueCount="133">
  <si>
    <t>GPU Utilisation</t>
  </si>
  <si>
    <t>Est. Achieved Occupancy</t>
  </si>
  <si>
    <t>Images per second</t>
  </si>
  <si>
    <t>Total training time</t>
  </si>
  <si>
    <t>Train begin time</t>
  </si>
  <si>
    <t>Train end time</t>
  </si>
  <si>
    <t>DataLoader time percentage</t>
  </si>
  <si>
    <t>Kernel time duration</t>
  </si>
  <si>
    <t>Metric</t>
  </si>
  <si>
    <t>Standardises performance across different batch sizes</t>
  </si>
  <si>
    <t>Note on why recording</t>
  </si>
  <si>
    <t>Drives compute costs</t>
  </si>
  <si>
    <t>Average duration of a forward-backward-update pass</t>
  </si>
  <si>
    <t>How often the GPU has active kernels queued</t>
  </si>
  <si>
    <t>Percentage of step spent waiting for CPU to serve data to GPU</t>
  </si>
  <si>
    <t>Total time GPU spent computing (compare to step time to understand CPU scheduling delays)</t>
  </si>
  <si>
    <t>Low tensor core utilisation means GPU not running at maximum efficiency</t>
  </si>
  <si>
    <t>Batch size</t>
  </si>
  <si>
    <t>Source</t>
  </si>
  <si>
    <t>ClearML</t>
  </si>
  <si>
    <t>Derived</t>
  </si>
  <si>
    <t>Tensorboard Overview</t>
  </si>
  <si>
    <t>Tensorboard Kernel View</t>
  </si>
  <si>
    <t>Tensorboard Operator View</t>
  </si>
  <si>
    <t>Est. SM (Streaming Multiprocessor) Efficiency</t>
  </si>
  <si>
    <t xml:space="preserve">Average Step time </t>
  </si>
  <si>
    <t>Tensor core utilisation</t>
  </si>
  <si>
    <t>CUDA sync time duration</t>
  </si>
  <si>
    <t xml:space="preserve">Memcpy Duration Percentage </t>
  </si>
  <si>
    <t>Measures how 'full' the SMs are - higher generally better</t>
  </si>
  <si>
    <t>Measures how much of the GPU being used - low SM efficiency indicates issues with kernel size (too small) or data throughput (too slow)</t>
  </si>
  <si>
    <t>CPU execution time</t>
  </si>
  <si>
    <t>How much of the step is taken up by CPU execution time (e.g. image augmentations) - though increasing this does not necessary lead to overall increase in training time (because CPU/GPU operate asynchonously)</t>
  </si>
  <si>
    <t>Test Training Run Results</t>
  </si>
  <si>
    <t>Full Training Run Projections</t>
  </si>
  <si>
    <t>Total Image Number</t>
  </si>
  <si>
    <t>Total Epochs</t>
  </si>
  <si>
    <t>VRAM</t>
  </si>
  <si>
    <t>Bandwidth</t>
  </si>
  <si>
    <t>Batch Size</t>
  </si>
  <si>
    <t>Projected Batch Size</t>
  </si>
  <si>
    <t>Projected Steps per Epoch</t>
  </si>
  <si>
    <t>Projected Step Time</t>
  </si>
  <si>
    <t>GPU Hourly Rate</t>
  </si>
  <si>
    <t>Projected Cost</t>
  </si>
  <si>
    <t>B200</t>
  </si>
  <si>
    <t>GPU Summary</t>
  </si>
  <si>
    <t>Execution Summary</t>
  </si>
  <si>
    <t>Memset</t>
  </si>
  <si>
    <t>Runtime</t>
  </si>
  <si>
    <t>Other</t>
  </si>
  <si>
    <t>Baseline batch size * (target VRAM / baseline VRAM)</t>
  </si>
  <si>
    <t>Total images / projected batch size</t>
  </si>
  <si>
    <t>Hardware scaling time</t>
  </si>
  <si>
    <t>(Kernel time + Memset time) * (baseline bandwidth/target bandwidth)</t>
  </si>
  <si>
    <t>Bus scaling time</t>
  </si>
  <si>
    <t>Memcpy time</t>
  </si>
  <si>
    <t>Memcpy time (assuming constant PCIe)</t>
  </si>
  <si>
    <t>Fixed host time</t>
  </si>
  <si>
    <t>Runtime + dataloader + cpu execution + other</t>
  </si>
  <si>
    <t>Hardware scaling time + bus scaling time + fixed host time</t>
  </si>
  <si>
    <t>Projected step time * projected steps per epoch * total epochs</t>
  </si>
  <si>
    <t>Projected total time * GPU hourly rate</t>
  </si>
  <si>
    <t>Test Number</t>
  </si>
  <si>
    <t>Test Description</t>
  </si>
  <si>
    <t>01</t>
  </si>
  <si>
    <t>02</t>
  </si>
  <si>
    <t>03</t>
  </si>
  <si>
    <t>04</t>
  </si>
  <si>
    <t>Baseline with 640px images</t>
  </si>
  <si>
    <t>Adding --cache disk</t>
  </si>
  <si>
    <t>Limiting cpu/gpu sync to every 20 batches</t>
  </si>
  <si>
    <t>In-place numpy updates</t>
  </si>
  <si>
    <t>05</t>
  </si>
  <si>
    <t>Enabling tensor cores by specifying TF32</t>
  </si>
  <si>
    <t xml:space="preserve">06 </t>
  </si>
  <si>
    <t>07</t>
  </si>
  <si>
    <t>Using torch.compile for more efficient kernels</t>
  </si>
  <si>
    <t>Runpod</t>
  </si>
  <si>
    <t>Experiment parameter</t>
  </si>
  <si>
    <t>Step time</t>
  </si>
  <si>
    <t>Tensorboard</t>
  </si>
  <si>
    <t>Time spent waiting for data to copy</t>
  </si>
  <si>
    <t>CUDA runtime execution time</t>
  </si>
  <si>
    <t>Time to initialise VRAM</t>
  </si>
  <si>
    <t>NOT A METRIC - NEED TO REVIEW IN 'TRACE'. Measures CPU-blocking calls like .item() [aten::item] and aten::_local_scalar_dense. Can see in trace with cudaStreamSynchronise blocks underneath these items (the CPU is waiting for the GPU to send the necessary value)</t>
  </si>
  <si>
    <t>N/A</t>
  </si>
  <si>
    <t>Very similar Trace structure to base run. Possibly slightly narrower CPU white gaps</t>
  </si>
  <si>
    <t>RTX PRO 6000</t>
  </si>
  <si>
    <t>H100 SXM</t>
  </si>
  <si>
    <t>Projected Total Time (us)</t>
  </si>
  <si>
    <t>Projected Total Time (hours)</t>
  </si>
  <si>
    <t>Time (in us) / 3,600,000,000</t>
  </si>
  <si>
    <t>Kernel time + Memset time</t>
  </si>
  <si>
    <t>in GB</t>
  </si>
  <si>
    <t>(in TB/s)</t>
  </si>
  <si>
    <t>https://inworld.ai/resources/nvidia-b200-gpu-cloud</t>
  </si>
  <si>
    <t>https://www.runpod.io/articles/guides/nvidia-h100</t>
  </si>
  <si>
    <t>https://lenovopress.lenovo.com/lp2364-thinksystem-nvidia-rtx-pro-6000-blackwell-max-q-workstation-edition-gpu</t>
  </si>
  <si>
    <t>https://www.techpowerup.com/gpu-specs/geforce-rtx-4090.c3889</t>
  </si>
  <si>
    <t>(Usually RTX4090 BUT</t>
  </si>
  <si>
    <t>not necessarily)</t>
  </si>
  <si>
    <t>Baseline</t>
  </si>
  <si>
    <t>No real change in trace structure... was expecting more of a change with this one...</t>
  </si>
  <si>
    <t>A small chunk of aten::batchnorm operations had become more efficient, visible in the trace</t>
  </si>
  <si>
    <t>06</t>
  </si>
  <si>
    <t>Specifying TF32 and batch size to be multiple of 8</t>
  </si>
  <si>
    <t>08</t>
  </si>
  <si>
    <t>09</t>
  </si>
  <si>
    <t>Repeat of TF32</t>
  </si>
  <si>
    <t>CPU</t>
  </si>
  <si>
    <t>FAILED RUN: Changing tensor format from NCHW to NHWC</t>
  </si>
  <si>
    <t>Roughly halved the CPU waiting gaps visible in the trace</t>
  </si>
  <si>
    <t>AMD EPYC 7663</t>
  </si>
  <si>
    <t>10</t>
  </si>
  <si>
    <t>11</t>
  </si>
  <si>
    <t>12</t>
  </si>
  <si>
    <t xml:space="preserve">Change to trace - more </t>
  </si>
  <si>
    <t>test run on larger GPU (RTX PRO 6000)</t>
  </si>
  <si>
    <t>AMD EPYC 9655</t>
  </si>
  <si>
    <t>AMD EPYC 9554</t>
  </si>
  <si>
    <t>test run on larger GPU (B200)</t>
  </si>
  <si>
    <t>AMD EPYC 9555</t>
  </si>
  <si>
    <t>test run on larger GPU (B200) without torch.compile()</t>
  </si>
  <si>
    <t>13</t>
  </si>
  <si>
    <t>test run on larger GPU (H100SXM)</t>
  </si>
  <si>
    <t>14</t>
  </si>
  <si>
    <t>test run on larger GPU (H100SXM) without torch.compile()</t>
  </si>
  <si>
    <t xml:space="preserve"> </t>
  </si>
  <si>
    <t>15</t>
  </si>
  <si>
    <t>16</t>
  </si>
  <si>
    <t>test run on larger GPU (H100SXM) adding torch.compile() back and with --batch 64</t>
  </si>
  <si>
    <t>test run on larger GPU (H100SXM) adding --workers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</si>
</sst>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:ss;@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164" fontId="0" fillId="0" borderId="0" xfId="0" applyNumberFormat="1"/>
    <xf numFmtId="2" fontId="0" fillId="0" borderId="0" xfId="0" applyNumberFormat="1"/>
    <xf numFmtId="1" fontId="0" fillId="0" borderId="0" xfId="0" applyNumberFormat="1"/>
    <xf numFmtId="0" fontId="0" fillId="0" borderId="0" xfId="0" applyAlignment="1">
      <alignment horizontal="right"/>
    </xf>
    <xf numFmtId="49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1" fillId="0" borderId="1" xfId="0" applyFont="1" applyBorder="1"/>
    <xf numFmtId="0" fontId="0" fillId="0" borderId="1" xfId="0" applyBorder="1"/>
    <xf numFmtId="0" fontId="2" fillId="0" borderId="0" xfId="1" applyBorder="1"/>
    <xf numFmtId="0" fontId="1" fillId="0" borderId="2" xfId="0" applyFont="1" applyBorder="1"/>
    <xf numFmtId="2" fontId="1" fillId="0" borderId="2" xfId="0" applyNumberFormat="1" applyFont="1" applyBorder="1"/>
    <xf numFmtId="0" fontId="0" fillId="0" borderId="2" xfId="0" applyBorder="1"/>
    <xf numFmtId="0" fontId="0" fillId="0" borderId="0" xfId="0" applyBorder="1"/>
    <xf numFmtId="0" fontId="1" fillId="0" borderId="0" xfId="0" applyFont="1" applyBorder="1"/>
    <xf numFmtId="0" fontId="0" fillId="0" borderId="0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lenovopress.lenovo.com/lp2364-thinksystem-nvidia-rtx-pro-6000-blackwell-max-q-workstation-edition-gpu" TargetMode="External"/><Relationship Id="rId2" Type="http://schemas.openxmlformats.org/officeDocument/2006/relationships/hyperlink" Target="https://www.runpod.io/articles/guides/nvidia-h100" TargetMode="External"/><Relationship Id="rId1" Type="http://schemas.openxmlformats.org/officeDocument/2006/relationships/hyperlink" Target="https://inworld.ai/resources/nvidia-b200-gpu-cloud" TargetMode="External"/><Relationship Id="rId4" Type="http://schemas.openxmlformats.org/officeDocument/2006/relationships/hyperlink" Target="https://www.techpowerup.com/gpu-specs/geforce-rtx-4090.c388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401FA-EEA0-488B-A983-56A70DAAC458}">
  <dimension ref="A1:T89"/>
  <sheetViews>
    <sheetView tabSelected="1" zoomScale="115" zoomScaleNormal="115" workbookViewId="0">
      <selection activeCell="A3" sqref="A3"/>
    </sheetView>
  </sheetViews>
  <sheetFormatPr defaultRowHeight="14.6" x14ac:dyDescent="0.4"/>
  <cols>
    <col min="1" max="1" width="24.07421875" customWidth="1"/>
    <col min="2" max="2" width="25.765625" customWidth="1"/>
    <col min="3" max="3" width="8.3046875" hidden="1" customWidth="1"/>
    <col min="4" max="4" width="46" customWidth="1"/>
    <col min="5" max="5" width="13" customWidth="1"/>
    <col min="6" max="20" width="7.765625" customWidth="1"/>
    <col min="23" max="23" width="21.4609375" bestFit="1" customWidth="1"/>
  </cols>
  <sheetData>
    <row r="1" spans="1:2" x14ac:dyDescent="0.4">
      <c r="A1" s="7" t="s">
        <v>63</v>
      </c>
      <c r="B1" s="1" t="s">
        <v>64</v>
      </c>
    </row>
    <row r="2" spans="1:2" x14ac:dyDescent="0.4">
      <c r="A2" s="6" t="s">
        <v>65</v>
      </c>
      <c r="B2" t="s">
        <v>69</v>
      </c>
    </row>
    <row r="3" spans="1:2" x14ac:dyDescent="0.4">
      <c r="A3" s="6" t="s">
        <v>66</v>
      </c>
      <c r="B3" t="s">
        <v>70</v>
      </c>
    </row>
    <row r="4" spans="1:2" x14ac:dyDescent="0.4">
      <c r="A4" s="6" t="s">
        <v>67</v>
      </c>
      <c r="B4" t="s">
        <v>71</v>
      </c>
    </row>
    <row r="5" spans="1:2" x14ac:dyDescent="0.4">
      <c r="A5" s="6" t="s">
        <v>68</v>
      </c>
      <c r="B5" t="s">
        <v>72</v>
      </c>
    </row>
    <row r="6" spans="1:2" x14ac:dyDescent="0.4">
      <c r="A6" s="6" t="s">
        <v>73</v>
      </c>
      <c r="B6" t="s">
        <v>74</v>
      </c>
    </row>
    <row r="7" spans="1:2" x14ac:dyDescent="0.4">
      <c r="A7" s="6" t="s">
        <v>105</v>
      </c>
      <c r="B7" t="s">
        <v>106</v>
      </c>
    </row>
    <row r="8" spans="1:2" x14ac:dyDescent="0.4">
      <c r="A8" s="6" t="s">
        <v>76</v>
      </c>
      <c r="B8" t="s">
        <v>109</v>
      </c>
    </row>
    <row r="9" spans="1:2" x14ac:dyDescent="0.4">
      <c r="A9" s="6" t="s">
        <v>107</v>
      </c>
      <c r="B9" t="s">
        <v>111</v>
      </c>
    </row>
    <row r="10" spans="1:2" x14ac:dyDescent="0.4">
      <c r="A10" s="6" t="s">
        <v>108</v>
      </c>
      <c r="B10" t="s">
        <v>77</v>
      </c>
    </row>
    <row r="11" spans="1:2" x14ac:dyDescent="0.4">
      <c r="A11" s="6" t="s">
        <v>114</v>
      </c>
      <c r="B11" t="s">
        <v>118</v>
      </c>
    </row>
    <row r="12" spans="1:2" x14ac:dyDescent="0.4">
      <c r="A12" s="6" t="s">
        <v>115</v>
      </c>
      <c r="B12" t="s">
        <v>121</v>
      </c>
    </row>
    <row r="13" spans="1:2" x14ac:dyDescent="0.4">
      <c r="A13" s="6" t="s">
        <v>116</v>
      </c>
      <c r="B13" t="s">
        <v>123</v>
      </c>
    </row>
    <row r="14" spans="1:2" x14ac:dyDescent="0.4">
      <c r="A14" s="6" t="s">
        <v>124</v>
      </c>
      <c r="B14" t="s">
        <v>125</v>
      </c>
    </row>
    <row r="15" spans="1:2" x14ac:dyDescent="0.4">
      <c r="A15" s="6" t="s">
        <v>126</v>
      </c>
      <c r="B15" t="s">
        <v>127</v>
      </c>
    </row>
    <row r="16" spans="1:2" x14ac:dyDescent="0.4">
      <c r="A16" s="6" t="s">
        <v>129</v>
      </c>
      <c r="B16" t="s">
        <v>131</v>
      </c>
    </row>
    <row r="17" spans="1:20" x14ac:dyDescent="0.4">
      <c r="A17" s="6" t="s">
        <v>130</v>
      </c>
      <c r="B17" t="s">
        <v>132</v>
      </c>
    </row>
    <row r="19" spans="1:20" x14ac:dyDescent="0.4">
      <c r="B19" s="1" t="s">
        <v>8</v>
      </c>
      <c r="C19" s="1" t="s">
        <v>18</v>
      </c>
      <c r="D19" s="1" t="s">
        <v>10</v>
      </c>
      <c r="E19" s="8" t="s">
        <v>65</v>
      </c>
      <c r="F19" s="8" t="s">
        <v>66</v>
      </c>
      <c r="G19" s="8" t="s">
        <v>67</v>
      </c>
      <c r="H19" s="8" t="s">
        <v>68</v>
      </c>
      <c r="I19" s="8" t="s">
        <v>73</v>
      </c>
      <c r="J19" s="8" t="s">
        <v>75</v>
      </c>
      <c r="K19" s="8" t="s">
        <v>76</v>
      </c>
      <c r="L19" s="8" t="s">
        <v>107</v>
      </c>
      <c r="M19" s="8" t="s">
        <v>108</v>
      </c>
      <c r="N19" s="8" t="s">
        <v>114</v>
      </c>
      <c r="O19" s="8" t="s">
        <v>115</v>
      </c>
      <c r="P19" s="8" t="s">
        <v>116</v>
      </c>
      <c r="Q19" s="8" t="s">
        <v>124</v>
      </c>
      <c r="R19" s="8" t="s">
        <v>126</v>
      </c>
      <c r="S19" s="8" t="s">
        <v>129</v>
      </c>
      <c r="T19" s="8" t="s">
        <v>130</v>
      </c>
    </row>
    <row r="20" spans="1:20" x14ac:dyDescent="0.4">
      <c r="A20" s="1" t="s">
        <v>33</v>
      </c>
      <c r="B20" t="s">
        <v>17</v>
      </c>
      <c r="C20" t="s">
        <v>19</v>
      </c>
      <c r="D20" s="1"/>
      <c r="E20">
        <v>27</v>
      </c>
      <c r="F20">
        <v>27</v>
      </c>
      <c r="G20">
        <v>27</v>
      </c>
      <c r="H20">
        <v>27</v>
      </c>
      <c r="I20">
        <v>27</v>
      </c>
      <c r="J20">
        <v>24</v>
      </c>
      <c r="K20">
        <v>24</v>
      </c>
      <c r="L20" s="4" t="s">
        <v>86</v>
      </c>
      <c r="M20">
        <v>24</v>
      </c>
      <c r="N20">
        <v>56</v>
      </c>
      <c r="O20">
        <v>80</v>
      </c>
      <c r="P20">
        <v>192</v>
      </c>
      <c r="Q20">
        <v>16</v>
      </c>
      <c r="R20">
        <v>88</v>
      </c>
      <c r="S20">
        <v>64</v>
      </c>
      <c r="T20">
        <v>64</v>
      </c>
    </row>
    <row r="21" spans="1:20" x14ac:dyDescent="0.4">
      <c r="B21" t="s">
        <v>2</v>
      </c>
      <c r="C21" t="s">
        <v>20</v>
      </c>
      <c r="D21" t="s">
        <v>9</v>
      </c>
      <c r="E21" s="3">
        <f>(E20/E25)*1000000</f>
        <v>44.422068883821481</v>
      </c>
      <c r="F21" s="3">
        <f t="shared" ref="F21:T21" si="0">(F20/F25)*1000000</f>
        <v>44.626771434899453</v>
      </c>
      <c r="G21" s="3">
        <f t="shared" si="0"/>
        <v>44.760531158303074</v>
      </c>
      <c r="H21" s="3">
        <f t="shared" si="0"/>
        <v>44.311255387099841</v>
      </c>
      <c r="I21" s="3">
        <f t="shared" si="0"/>
        <v>44.878901763408408</v>
      </c>
      <c r="J21" s="3">
        <f t="shared" si="0"/>
        <v>32.146545384894608</v>
      </c>
      <c r="K21" s="3">
        <f t="shared" si="0"/>
        <v>44.520211248402369</v>
      </c>
      <c r="L21" s="4" t="s">
        <v>86</v>
      </c>
      <c r="M21" s="3">
        <f t="shared" si="0"/>
        <v>64.499657345570355</v>
      </c>
      <c r="N21" s="3">
        <f t="shared" si="0"/>
        <v>126.4450867052023</v>
      </c>
      <c r="O21" s="3">
        <f t="shared" si="0"/>
        <v>85.65310492505354</v>
      </c>
      <c r="P21" s="3">
        <f t="shared" si="0"/>
        <v>69.382560259837689</v>
      </c>
      <c r="Q21" s="3">
        <f t="shared" si="0"/>
        <v>263.98284111532752</v>
      </c>
      <c r="R21" s="3">
        <f t="shared" si="0"/>
        <v>115.35990980952506</v>
      </c>
      <c r="S21" s="3">
        <f t="shared" si="0"/>
        <v>491.31372684492146</v>
      </c>
      <c r="T21" s="3">
        <f t="shared" si="0"/>
        <v>489.94465156514349</v>
      </c>
    </row>
    <row r="22" spans="1:20" x14ac:dyDescent="0.4">
      <c r="B22" t="s">
        <v>4</v>
      </c>
      <c r="C22" t="s">
        <v>19</v>
      </c>
      <c r="E22" s="2">
        <v>8.0833333333333326E-2</v>
      </c>
      <c r="F22" s="2">
        <v>8.6585648148148148E-2</v>
      </c>
      <c r="G22" s="2">
        <v>0.12693287037037038</v>
      </c>
      <c r="H22" s="2">
        <v>0.1700925925925926</v>
      </c>
      <c r="I22" s="2">
        <v>0.62850694444444444</v>
      </c>
      <c r="J22" s="2">
        <v>0.6897106481481482</v>
      </c>
      <c r="K22" s="2">
        <v>0.89508101851851851</v>
      </c>
      <c r="L22" s="4" t="s">
        <v>86</v>
      </c>
      <c r="M22" s="2">
        <v>0.91401620370370373</v>
      </c>
      <c r="N22" s="2">
        <v>4.6342592592592595E-2</v>
      </c>
      <c r="O22" s="2">
        <v>7.3842592592592599E-2</v>
      </c>
      <c r="P22" s="2">
        <v>0.12565972222222221</v>
      </c>
      <c r="Q22" s="2">
        <v>0.17609953703703704</v>
      </c>
      <c r="R22" s="2">
        <v>0.19238425925925925</v>
      </c>
      <c r="S22" s="2">
        <v>0.20910879629629631</v>
      </c>
      <c r="T22" s="2">
        <v>0.2230324074074074</v>
      </c>
    </row>
    <row r="23" spans="1:20" x14ac:dyDescent="0.4">
      <c r="B23" t="s">
        <v>5</v>
      </c>
      <c r="C23" t="s">
        <v>19</v>
      </c>
      <c r="E23" s="2">
        <v>8.4409722222222219E-2</v>
      </c>
      <c r="F23" s="2">
        <v>9.0081018518518519E-2</v>
      </c>
      <c r="G23" s="2">
        <v>0.13069444444444445</v>
      </c>
      <c r="H23" s="2">
        <v>0.17354166666666668</v>
      </c>
      <c r="I23" s="2">
        <v>0.63196759259259261</v>
      </c>
      <c r="J23" s="2">
        <v>0.69269675925925922</v>
      </c>
      <c r="K23" s="2">
        <v>0.89780092592592597</v>
      </c>
      <c r="L23" s="4" t="s">
        <v>86</v>
      </c>
      <c r="M23" s="2">
        <v>0.91979166666666667</v>
      </c>
      <c r="N23" s="2">
        <v>5.1446759259259262E-2</v>
      </c>
      <c r="O23" s="2">
        <v>8.143518518518518E-2</v>
      </c>
      <c r="P23" s="2">
        <v>0.14000000000000001</v>
      </c>
      <c r="Q23" s="2">
        <v>0.18189814814814814</v>
      </c>
      <c r="R23" s="2">
        <v>0.19831018518518517</v>
      </c>
      <c r="S23" s="2">
        <v>0.21390046296296297</v>
      </c>
      <c r="T23" s="2">
        <v>0.22799768518518518</v>
      </c>
    </row>
    <row r="24" spans="1:20" x14ac:dyDescent="0.4">
      <c r="B24" t="s">
        <v>3</v>
      </c>
      <c r="C24" t="s">
        <v>20</v>
      </c>
      <c r="D24" t="s">
        <v>11</v>
      </c>
      <c r="E24" s="2">
        <f>IF(E23="","",E23-E22)</f>
        <v>3.5763888888888928E-3</v>
      </c>
      <c r="F24" s="2">
        <f t="shared" ref="F24" si="1">IF(F23="","",F23-F22)</f>
        <v>3.4953703703703709E-3</v>
      </c>
      <c r="G24" s="2">
        <f t="shared" ref="G24" si="2">IF(G23="","",G23-G22)</f>
        <v>3.76157407407407E-3</v>
      </c>
      <c r="H24" s="2">
        <f t="shared" ref="H24" si="3">IF(H23="","",H23-H22)</f>
        <v>3.4490740740740766E-3</v>
      </c>
      <c r="I24" s="2">
        <f t="shared" ref="I24" si="4">IF(I23="","",I23-I22)</f>
        <v>3.460648148148171E-3</v>
      </c>
      <c r="J24" s="2">
        <f t="shared" ref="J24" si="5">IF(J23="","",J23-J22)</f>
        <v>2.9861111111110228E-3</v>
      </c>
      <c r="K24" s="2">
        <f t="shared" ref="K24" si="6">IF(K23="","",K23-K22)</f>
        <v>2.7199074074074625E-3</v>
      </c>
      <c r="L24" s="4" t="s">
        <v>86</v>
      </c>
      <c r="M24" s="2">
        <f t="shared" ref="M24:O24" si="7">IF(M23="","",M23-M22)</f>
        <v>5.7754629629629406E-3</v>
      </c>
      <c r="N24" s="2">
        <f t="shared" ref="N24" si="8">IF(N23="","",N23-N22)</f>
        <v>5.1041666666666666E-3</v>
      </c>
      <c r="O24" s="2">
        <f t="shared" si="7"/>
        <v>7.5925925925925813E-3</v>
      </c>
      <c r="P24" s="2">
        <f>IF(P23="","",P23-P22)</f>
        <v>1.4340277777777799E-2</v>
      </c>
      <c r="Q24" s="2">
        <f t="shared" ref="Q24:S24" si="9">IF(Q23="","",Q23-Q22)</f>
        <v>5.7986111111111016E-3</v>
      </c>
      <c r="R24" s="2">
        <f t="shared" si="9"/>
        <v>5.9259259259259178E-3</v>
      </c>
      <c r="S24" s="2">
        <f t="shared" si="9"/>
        <v>4.7916666666666663E-3</v>
      </c>
      <c r="T24" s="2">
        <f t="shared" ref="T24" si="10">IF(T23="","",T23-T22)</f>
        <v>4.9652777777777768E-3</v>
      </c>
    </row>
    <row r="25" spans="1:20" x14ac:dyDescent="0.4">
      <c r="A25" s="1" t="s">
        <v>47</v>
      </c>
      <c r="B25" t="s">
        <v>25</v>
      </c>
      <c r="C25" t="s">
        <v>21</v>
      </c>
      <c r="D25" t="s">
        <v>12</v>
      </c>
      <c r="E25" s="4">
        <v>607806</v>
      </c>
      <c r="F25" s="4">
        <v>605018</v>
      </c>
      <c r="G25" s="4">
        <v>603210</v>
      </c>
      <c r="H25" s="4">
        <v>609326</v>
      </c>
      <c r="I25" s="4">
        <v>601619</v>
      </c>
      <c r="J25" s="4">
        <v>746581</v>
      </c>
      <c r="K25" s="4">
        <v>539081</v>
      </c>
      <c r="L25" s="4" t="s">
        <v>86</v>
      </c>
      <c r="M25" s="4">
        <v>372095</v>
      </c>
      <c r="N25" s="4">
        <v>442880</v>
      </c>
      <c r="O25" s="4">
        <v>934000</v>
      </c>
      <c r="P25" s="4">
        <v>2767266</v>
      </c>
      <c r="Q25" s="4">
        <v>60610</v>
      </c>
      <c r="R25" s="4">
        <v>762830</v>
      </c>
      <c r="S25" s="4">
        <v>130263</v>
      </c>
      <c r="T25" s="4">
        <v>130627</v>
      </c>
    </row>
    <row r="26" spans="1:20" x14ac:dyDescent="0.4">
      <c r="A26" s="1"/>
      <c r="B26" t="s">
        <v>7</v>
      </c>
      <c r="C26" t="s">
        <v>21</v>
      </c>
      <c r="D26" t="s">
        <v>15</v>
      </c>
      <c r="E26" s="4">
        <v>504964</v>
      </c>
      <c r="F26" s="4">
        <v>514246</v>
      </c>
      <c r="G26" s="4">
        <v>514469</v>
      </c>
      <c r="H26" s="4">
        <v>510476</v>
      </c>
      <c r="I26" s="4">
        <v>505530</v>
      </c>
      <c r="J26" s="4">
        <v>451938</v>
      </c>
      <c r="K26" s="4">
        <v>491970</v>
      </c>
      <c r="L26" s="4" t="s">
        <v>86</v>
      </c>
      <c r="M26" s="4">
        <v>215826</v>
      </c>
      <c r="N26" s="4">
        <v>426689</v>
      </c>
      <c r="O26" s="4">
        <v>910607</v>
      </c>
      <c r="P26" s="4">
        <v>2736937</v>
      </c>
      <c r="Q26" s="4">
        <v>36726</v>
      </c>
      <c r="R26" s="4">
        <v>736875</v>
      </c>
      <c r="S26" s="4">
        <v>110836</v>
      </c>
      <c r="T26" s="4">
        <v>111117</v>
      </c>
    </row>
    <row r="27" spans="1:20" x14ac:dyDescent="0.4">
      <c r="A27" s="1"/>
      <c r="B27" t="s">
        <v>28</v>
      </c>
      <c r="C27" t="s">
        <v>21</v>
      </c>
      <c r="D27" t="s">
        <v>82</v>
      </c>
      <c r="E27" s="4">
        <v>12948</v>
      </c>
      <c r="F27" s="4">
        <v>12460</v>
      </c>
      <c r="G27" s="4">
        <v>12436</v>
      </c>
      <c r="H27" s="4">
        <v>13388</v>
      </c>
      <c r="I27" s="4">
        <v>12948</v>
      </c>
      <c r="J27" s="4">
        <v>72022</v>
      </c>
      <c r="K27" s="4">
        <v>12716</v>
      </c>
      <c r="L27" s="4" t="s">
        <v>86</v>
      </c>
      <c r="M27" s="4">
        <v>4456</v>
      </c>
      <c r="N27" s="4">
        <v>6358</v>
      </c>
      <c r="O27" s="4">
        <v>2829</v>
      </c>
      <c r="P27" s="4">
        <v>9123</v>
      </c>
      <c r="Q27" s="4">
        <v>273</v>
      </c>
      <c r="R27" s="4">
        <v>6226</v>
      </c>
      <c r="S27" s="4">
        <v>963</v>
      </c>
      <c r="T27" s="4">
        <v>959</v>
      </c>
    </row>
    <row r="28" spans="1:20" x14ac:dyDescent="0.4">
      <c r="A28" s="1"/>
      <c r="B28" t="s">
        <v>48</v>
      </c>
      <c r="C28" t="s">
        <v>21</v>
      </c>
      <c r="D28" t="s">
        <v>84</v>
      </c>
      <c r="E28" s="4">
        <v>1464</v>
      </c>
      <c r="F28" s="4">
        <v>1372</v>
      </c>
      <c r="G28" s="4">
        <v>1374</v>
      </c>
      <c r="H28" s="4">
        <v>1386</v>
      </c>
      <c r="I28" s="4">
        <v>1383</v>
      </c>
      <c r="J28" s="4">
        <v>1229</v>
      </c>
      <c r="K28" s="4">
        <v>1515</v>
      </c>
      <c r="L28" s="4" t="s">
        <v>86</v>
      </c>
      <c r="M28" s="4">
        <v>1500</v>
      </c>
      <c r="N28" s="4">
        <v>58</v>
      </c>
      <c r="O28" s="4">
        <v>512</v>
      </c>
      <c r="P28" s="4">
        <v>1186</v>
      </c>
      <c r="Q28" s="4">
        <v>188</v>
      </c>
      <c r="R28" s="4">
        <v>790</v>
      </c>
      <c r="S28" s="4">
        <v>592</v>
      </c>
      <c r="T28" s="4">
        <v>588</v>
      </c>
    </row>
    <row r="29" spans="1:20" x14ac:dyDescent="0.4">
      <c r="A29" s="1"/>
      <c r="B29" t="s">
        <v>49</v>
      </c>
      <c r="C29" t="s">
        <v>21</v>
      </c>
      <c r="D29" t="s">
        <v>83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 t="s">
        <v>86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</row>
    <row r="30" spans="1:20" x14ac:dyDescent="0.4">
      <c r="A30" s="1"/>
      <c r="B30" t="s">
        <v>6</v>
      </c>
      <c r="C30" t="s">
        <v>21</v>
      </c>
      <c r="D30" t="s">
        <v>14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 t="s">
        <v>86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</row>
    <row r="31" spans="1:20" x14ac:dyDescent="0.4">
      <c r="A31" s="1"/>
      <c r="B31" t="s">
        <v>31</v>
      </c>
      <c r="C31" t="s">
        <v>21</v>
      </c>
      <c r="D31" t="s">
        <v>32</v>
      </c>
      <c r="E31" s="4">
        <v>64042</v>
      </c>
      <c r="F31" s="4">
        <v>53850</v>
      </c>
      <c r="G31" s="4">
        <v>52803</v>
      </c>
      <c r="H31" s="4">
        <v>57974</v>
      </c>
      <c r="I31" s="4">
        <v>56680</v>
      </c>
      <c r="J31" s="4">
        <v>158209</v>
      </c>
      <c r="K31" s="4">
        <v>22259</v>
      </c>
      <c r="L31" s="4" t="s">
        <v>86</v>
      </c>
      <c r="M31" s="4">
        <v>112712</v>
      </c>
      <c r="N31" s="4">
        <v>5658</v>
      </c>
      <c r="O31" s="4">
        <v>15769</v>
      </c>
      <c r="P31" s="4">
        <v>11743</v>
      </c>
      <c r="Q31" s="4">
        <v>18151</v>
      </c>
      <c r="R31" s="4">
        <v>13978</v>
      </c>
      <c r="S31" s="4">
        <v>13049</v>
      </c>
      <c r="T31" s="4">
        <v>13449</v>
      </c>
    </row>
    <row r="32" spans="1:20" x14ac:dyDescent="0.4">
      <c r="A32" s="1"/>
      <c r="B32" t="s">
        <v>50</v>
      </c>
      <c r="C32" t="s">
        <v>21</v>
      </c>
      <c r="E32" s="4">
        <v>24386</v>
      </c>
      <c r="F32" s="4">
        <v>23092</v>
      </c>
      <c r="G32" s="4">
        <v>22130</v>
      </c>
      <c r="H32" s="4">
        <v>26102</v>
      </c>
      <c r="I32" s="4">
        <v>25078</v>
      </c>
      <c r="J32" s="4">
        <v>63183</v>
      </c>
      <c r="K32" s="4">
        <v>10621</v>
      </c>
      <c r="L32" s="4" t="s">
        <v>86</v>
      </c>
      <c r="M32" s="4">
        <v>37601</v>
      </c>
      <c r="N32" s="4">
        <v>4117</v>
      </c>
      <c r="O32" s="4">
        <v>3273</v>
      </c>
      <c r="P32" s="4">
        <v>8277</v>
      </c>
      <c r="Q32" s="4">
        <v>5272</v>
      </c>
      <c r="R32" s="4">
        <v>4961</v>
      </c>
      <c r="S32" s="4">
        <v>4824</v>
      </c>
      <c r="T32" s="4">
        <v>4515</v>
      </c>
    </row>
    <row r="33" spans="1:20" x14ac:dyDescent="0.4">
      <c r="A33" s="1" t="s">
        <v>46</v>
      </c>
      <c r="B33" t="s">
        <v>0</v>
      </c>
      <c r="C33" t="s">
        <v>21</v>
      </c>
      <c r="D33" t="s">
        <v>13</v>
      </c>
      <c r="E33" s="3">
        <v>83.08</v>
      </c>
      <c r="F33" s="3">
        <v>84.99</v>
      </c>
      <c r="G33" s="3">
        <v>85.28</v>
      </c>
      <c r="H33" s="3">
        <v>83.77</v>
      </c>
      <c r="I33" s="3">
        <v>84.02</v>
      </c>
      <c r="J33" s="3">
        <v>60.53</v>
      </c>
      <c r="K33" s="3">
        <v>91.21</v>
      </c>
      <c r="L33" s="4" t="s">
        <v>86</v>
      </c>
      <c r="M33" s="3">
        <v>57.94</v>
      </c>
      <c r="N33" s="3">
        <v>96.09</v>
      </c>
      <c r="O33" s="3">
        <v>97.91</v>
      </c>
      <c r="P33" s="3">
        <v>98.85</v>
      </c>
      <c r="Q33" s="3">
        <v>60</v>
      </c>
      <c r="R33" s="3">
        <v>96.25</v>
      </c>
      <c r="S33" s="3">
        <v>82.73</v>
      </c>
      <c r="T33" s="3">
        <v>84.47</v>
      </c>
    </row>
    <row r="34" spans="1:20" x14ac:dyDescent="0.4">
      <c r="B34" t="s">
        <v>24</v>
      </c>
      <c r="C34" t="s">
        <v>21</v>
      </c>
      <c r="D34" t="s">
        <v>30</v>
      </c>
      <c r="E34" s="3">
        <v>33.36</v>
      </c>
      <c r="F34" s="3">
        <v>34.03</v>
      </c>
      <c r="G34" s="3">
        <v>34.18</v>
      </c>
      <c r="H34" s="3">
        <v>33.659999999999997</v>
      </c>
      <c r="I34" s="3">
        <v>33.74</v>
      </c>
      <c r="J34" s="3">
        <v>24.2</v>
      </c>
      <c r="K34" s="3">
        <v>39.24</v>
      </c>
      <c r="L34" s="4" t="s">
        <v>86</v>
      </c>
      <c r="M34" s="3">
        <v>50.56</v>
      </c>
      <c r="N34" s="3">
        <v>25.84</v>
      </c>
      <c r="O34" s="3">
        <v>16.32</v>
      </c>
      <c r="P34" s="3">
        <v>15.39</v>
      </c>
      <c r="Q34" s="3">
        <v>49.33</v>
      </c>
      <c r="R34" s="3">
        <v>25.91</v>
      </c>
      <c r="S34" s="3">
        <v>77.44</v>
      </c>
      <c r="T34" s="3">
        <v>79.13</v>
      </c>
    </row>
    <row r="35" spans="1:20" x14ac:dyDescent="0.4">
      <c r="B35" t="s">
        <v>1</v>
      </c>
      <c r="C35" t="s">
        <v>21</v>
      </c>
      <c r="D35" t="s">
        <v>29</v>
      </c>
      <c r="E35" s="3">
        <v>22.41</v>
      </c>
      <c r="F35" s="3">
        <v>22.21</v>
      </c>
      <c r="G35" s="3">
        <v>22.24</v>
      </c>
      <c r="H35" s="3">
        <v>22.37</v>
      </c>
      <c r="I35" s="3">
        <v>22.4</v>
      </c>
      <c r="J35" s="3">
        <v>22.06</v>
      </c>
      <c r="K35" s="3">
        <v>21.59</v>
      </c>
      <c r="L35" s="4" t="s">
        <v>86</v>
      </c>
      <c r="M35" s="3">
        <v>47.09</v>
      </c>
      <c r="N35" s="3">
        <v>16.54</v>
      </c>
      <c r="O35" s="3">
        <v>7.57</v>
      </c>
      <c r="P35" s="3">
        <v>7.13</v>
      </c>
      <c r="Q35" s="3">
        <v>38.69</v>
      </c>
      <c r="R35" s="3">
        <v>12.85</v>
      </c>
      <c r="S35" s="3">
        <v>46.95</v>
      </c>
      <c r="T35" s="3">
        <v>46.97</v>
      </c>
    </row>
    <row r="36" spans="1:20" x14ac:dyDescent="0.4">
      <c r="B36" t="s">
        <v>27</v>
      </c>
      <c r="C36" t="s">
        <v>23</v>
      </c>
      <c r="D36" t="s">
        <v>85</v>
      </c>
      <c r="E36" s="5" t="s">
        <v>86</v>
      </c>
      <c r="F36" t="s">
        <v>87</v>
      </c>
      <c r="G36" t="s">
        <v>103</v>
      </c>
      <c r="H36" t="s">
        <v>104</v>
      </c>
      <c r="K36" t="s">
        <v>112</v>
      </c>
      <c r="L36" s="4" t="s">
        <v>86</v>
      </c>
      <c r="M36" t="s">
        <v>117</v>
      </c>
      <c r="Q36" t="s">
        <v>128</v>
      </c>
    </row>
    <row r="37" spans="1:20" x14ac:dyDescent="0.4">
      <c r="B37" t="s">
        <v>26</v>
      </c>
      <c r="C37" t="s">
        <v>22</v>
      </c>
      <c r="D37" t="s">
        <v>16</v>
      </c>
      <c r="E37" s="3">
        <v>5.0999999999999996</v>
      </c>
      <c r="F37" s="3">
        <v>5.0999999999999996</v>
      </c>
      <c r="G37" s="3">
        <v>5.0999999999999996</v>
      </c>
      <c r="H37" s="3">
        <v>5.0999999999999996</v>
      </c>
      <c r="I37" s="3">
        <v>5.0999999999999996</v>
      </c>
      <c r="J37" s="3">
        <v>5.2</v>
      </c>
      <c r="K37" s="3">
        <v>8.3000000000000007</v>
      </c>
      <c r="L37" s="4" t="s">
        <v>86</v>
      </c>
      <c r="M37" s="3">
        <v>18.100000000000001</v>
      </c>
      <c r="N37" s="3">
        <v>0.6</v>
      </c>
      <c r="O37" s="3">
        <v>0</v>
      </c>
      <c r="P37" s="3">
        <v>0</v>
      </c>
      <c r="Q37" s="3">
        <v>18.3</v>
      </c>
      <c r="R37" s="3">
        <v>3.6</v>
      </c>
      <c r="S37" s="3">
        <v>17.7</v>
      </c>
      <c r="T37" s="3">
        <v>17.7</v>
      </c>
    </row>
    <row r="39" spans="1:20" x14ac:dyDescent="0.4">
      <c r="A39" s="1" t="s">
        <v>34</v>
      </c>
      <c r="B39" t="s">
        <v>35</v>
      </c>
      <c r="C39" t="s">
        <v>79</v>
      </c>
      <c r="E39">
        <v>100700</v>
      </c>
      <c r="F39">
        <v>100700</v>
      </c>
      <c r="G39">
        <v>100700</v>
      </c>
      <c r="H39">
        <v>100700</v>
      </c>
      <c r="I39">
        <v>100700</v>
      </c>
      <c r="J39">
        <v>100700</v>
      </c>
      <c r="K39">
        <v>100700</v>
      </c>
      <c r="L39">
        <v>100700</v>
      </c>
      <c r="M39">
        <v>100700</v>
      </c>
      <c r="N39">
        <v>100700</v>
      </c>
      <c r="O39">
        <v>100700</v>
      </c>
      <c r="P39">
        <v>100700</v>
      </c>
      <c r="Q39">
        <v>100700</v>
      </c>
      <c r="R39">
        <v>100700</v>
      </c>
      <c r="S39">
        <v>100700</v>
      </c>
      <c r="T39">
        <v>100700</v>
      </c>
    </row>
    <row r="40" spans="1:20" x14ac:dyDescent="0.4">
      <c r="B40" t="s">
        <v>36</v>
      </c>
      <c r="C40" t="s">
        <v>79</v>
      </c>
      <c r="E40">
        <v>100</v>
      </c>
      <c r="F40">
        <v>100</v>
      </c>
      <c r="G40">
        <v>100</v>
      </c>
      <c r="H40">
        <v>100</v>
      </c>
      <c r="I40">
        <v>100</v>
      </c>
      <c r="J40">
        <v>100</v>
      </c>
      <c r="K40">
        <v>100</v>
      </c>
      <c r="L40">
        <v>100</v>
      </c>
      <c r="M40">
        <v>100</v>
      </c>
      <c r="N40">
        <v>100</v>
      </c>
      <c r="O40">
        <v>100</v>
      </c>
      <c r="P40">
        <v>100</v>
      </c>
      <c r="Q40">
        <v>100</v>
      </c>
      <c r="R40">
        <v>100</v>
      </c>
      <c r="S40">
        <v>100</v>
      </c>
      <c r="T40">
        <v>100</v>
      </c>
    </row>
    <row r="41" spans="1:20" x14ac:dyDescent="0.4">
      <c r="A41" s="9" t="s">
        <v>102</v>
      </c>
      <c r="B41" s="10" t="s">
        <v>37</v>
      </c>
      <c r="C41" s="10" t="s">
        <v>78</v>
      </c>
      <c r="D41" s="10" t="s">
        <v>94</v>
      </c>
      <c r="E41" s="10">
        <v>24</v>
      </c>
      <c r="F41" s="10">
        <v>24</v>
      </c>
      <c r="G41" s="10">
        <v>24</v>
      </c>
      <c r="H41" s="10">
        <v>24</v>
      </c>
      <c r="I41" s="10">
        <v>24</v>
      </c>
      <c r="J41" s="10">
        <v>24</v>
      </c>
      <c r="K41" s="10">
        <v>24</v>
      </c>
      <c r="L41" s="10">
        <v>24</v>
      </c>
      <c r="M41" s="10">
        <v>24</v>
      </c>
      <c r="N41" s="10">
        <v>96</v>
      </c>
      <c r="O41" s="10">
        <v>180</v>
      </c>
      <c r="P41" s="10">
        <v>180</v>
      </c>
      <c r="Q41" s="10">
        <v>80</v>
      </c>
      <c r="R41" s="10">
        <v>80</v>
      </c>
      <c r="S41" s="10">
        <v>80</v>
      </c>
      <c r="T41" s="10">
        <v>80</v>
      </c>
    </row>
    <row r="42" spans="1:20" x14ac:dyDescent="0.4">
      <c r="A42" s="16"/>
      <c r="B42" s="17" t="s">
        <v>110</v>
      </c>
      <c r="C42" s="17" t="s">
        <v>78</v>
      </c>
      <c r="D42" s="15"/>
      <c r="E42" s="15"/>
      <c r="F42" s="15"/>
      <c r="G42" s="15"/>
      <c r="H42" s="15"/>
      <c r="I42" s="15"/>
      <c r="J42" s="15"/>
      <c r="K42" s="15"/>
      <c r="L42" s="15"/>
      <c r="M42" s="15" t="s">
        <v>113</v>
      </c>
      <c r="N42" t="s">
        <v>119</v>
      </c>
      <c r="O42" s="15" t="s">
        <v>122</v>
      </c>
      <c r="P42" s="15" t="s">
        <v>122</v>
      </c>
      <c r="Q42" t="s">
        <v>120</v>
      </c>
      <c r="R42" t="s">
        <v>120</v>
      </c>
      <c r="S42" t="s">
        <v>120</v>
      </c>
      <c r="T42" t="s">
        <v>120</v>
      </c>
    </row>
    <row r="43" spans="1:20" x14ac:dyDescent="0.4">
      <c r="A43" s="1" t="s">
        <v>100</v>
      </c>
      <c r="B43" t="s">
        <v>38</v>
      </c>
      <c r="C43" s="11" t="s">
        <v>99</v>
      </c>
      <c r="D43" t="s">
        <v>95</v>
      </c>
      <c r="E43">
        <v>1.01</v>
      </c>
      <c r="F43">
        <v>1.01</v>
      </c>
      <c r="G43">
        <v>1.01</v>
      </c>
      <c r="H43">
        <v>1.01</v>
      </c>
      <c r="I43">
        <v>1.01</v>
      </c>
      <c r="J43">
        <v>1.01</v>
      </c>
      <c r="K43">
        <v>1.01</v>
      </c>
      <c r="L43">
        <v>1.01</v>
      </c>
      <c r="M43">
        <v>1.01</v>
      </c>
      <c r="N43">
        <v>1.8</v>
      </c>
      <c r="O43">
        <v>8</v>
      </c>
      <c r="P43">
        <v>8</v>
      </c>
      <c r="Q43">
        <v>8</v>
      </c>
      <c r="R43">
        <v>8</v>
      </c>
      <c r="S43">
        <v>8</v>
      </c>
      <c r="T43">
        <v>8</v>
      </c>
    </row>
    <row r="44" spans="1:20" x14ac:dyDescent="0.4">
      <c r="A44" s="1" t="s">
        <v>101</v>
      </c>
      <c r="B44" t="s">
        <v>39</v>
      </c>
      <c r="C44" t="s">
        <v>19</v>
      </c>
      <c r="E44">
        <f>E20</f>
        <v>27</v>
      </c>
      <c r="F44">
        <f>F20</f>
        <v>27</v>
      </c>
      <c r="G44">
        <f>G20</f>
        <v>27</v>
      </c>
      <c r="H44">
        <f>H20</f>
        <v>27</v>
      </c>
      <c r="I44">
        <f>I20</f>
        <v>27</v>
      </c>
      <c r="J44">
        <f>J20</f>
        <v>24</v>
      </c>
      <c r="K44">
        <f>K20</f>
        <v>24</v>
      </c>
      <c r="L44" t="str">
        <f>L20</f>
        <v>N/A</v>
      </c>
      <c r="M44">
        <f>M20</f>
        <v>24</v>
      </c>
      <c r="N44">
        <f>N20</f>
        <v>56</v>
      </c>
      <c r="O44">
        <f>O20</f>
        <v>80</v>
      </c>
      <c r="P44">
        <f>P20</f>
        <v>192</v>
      </c>
      <c r="Q44">
        <f>Q20</f>
        <v>16</v>
      </c>
      <c r="R44">
        <f>R20</f>
        <v>88</v>
      </c>
      <c r="S44">
        <f>S20</f>
        <v>64</v>
      </c>
      <c r="T44">
        <f>T20</f>
        <v>64</v>
      </c>
    </row>
    <row r="45" spans="1:20" x14ac:dyDescent="0.4">
      <c r="A45" s="1"/>
      <c r="B45" t="s">
        <v>41</v>
      </c>
      <c r="C45" t="s">
        <v>20</v>
      </c>
      <c r="D45" t="s">
        <v>52</v>
      </c>
      <c r="E45">
        <f>IF(E44="","",E$39/E44)</f>
        <v>3729.6296296296296</v>
      </c>
      <c r="F45">
        <f>IF(F44="","",F$39/F44)</f>
        <v>3729.6296296296296</v>
      </c>
      <c r="G45">
        <f>IF(G44="","",G$39/G44)</f>
        <v>3729.6296296296296</v>
      </c>
      <c r="H45">
        <f>IF(H44="","",H$39/H44)</f>
        <v>3729.6296296296296</v>
      </c>
      <c r="I45">
        <f>IF(I44="","",I$39/I44)</f>
        <v>3729.6296296296296</v>
      </c>
      <c r="J45">
        <f>IF(J44="","",J$39/J44)</f>
        <v>4195.833333333333</v>
      </c>
      <c r="K45">
        <f>IF(K44="","",K$39/K44)</f>
        <v>4195.833333333333</v>
      </c>
      <c r="L45" t="e">
        <f>IF(L44="","",L$39/L44)</f>
        <v>#VALUE!</v>
      </c>
      <c r="M45">
        <f>IF(M44="","",M$39/M44)</f>
        <v>4195.833333333333</v>
      </c>
      <c r="N45">
        <f>IF(N44="","",N$39/N44)</f>
        <v>1798.2142857142858</v>
      </c>
      <c r="O45">
        <f>IF(O44="","",O$39/O44)</f>
        <v>1258.75</v>
      </c>
      <c r="P45">
        <f>IF(P44="","",P$39/P44)</f>
        <v>524.47916666666663</v>
      </c>
      <c r="Q45">
        <f>IF(Q44="","",Q$39/Q44)</f>
        <v>6293.75</v>
      </c>
      <c r="R45">
        <f>IF(R44="","",R$39/R44)</f>
        <v>1144.3181818181818</v>
      </c>
      <c r="S45">
        <f>IF(S44="","",S$39/S44)</f>
        <v>1573.4375</v>
      </c>
      <c r="T45">
        <f>IF(T44="","",T$39/T44)</f>
        <v>1573.4375</v>
      </c>
    </row>
    <row r="46" spans="1:20" x14ac:dyDescent="0.4">
      <c r="A46" s="1"/>
      <c r="B46" t="s">
        <v>53</v>
      </c>
      <c r="C46" t="s">
        <v>81</v>
      </c>
      <c r="D46" t="s">
        <v>93</v>
      </c>
      <c r="E46" s="4">
        <f>E26+E28</f>
        <v>506428</v>
      </c>
      <c r="F46" s="4">
        <f>F26+F28</f>
        <v>515618</v>
      </c>
      <c r="G46" s="4">
        <f>G26+G28</f>
        <v>515843</v>
      </c>
      <c r="H46" s="4">
        <f>H26+H28</f>
        <v>511862</v>
      </c>
      <c r="I46" s="4">
        <f t="shared" ref="I46" si="11">I26+I28</f>
        <v>506913</v>
      </c>
      <c r="J46" s="4">
        <f>J26+J28</f>
        <v>453167</v>
      </c>
      <c r="K46" s="4">
        <f>K26+K28</f>
        <v>493485</v>
      </c>
      <c r="L46" s="4" t="e">
        <f>L26+L28</f>
        <v>#VALUE!</v>
      </c>
      <c r="M46" s="4">
        <f t="shared" ref="M46:O46" si="12">M26+M28</f>
        <v>217326</v>
      </c>
      <c r="N46" s="4">
        <f t="shared" ref="N46" si="13">N26+N28</f>
        <v>426747</v>
      </c>
      <c r="O46" s="4">
        <f t="shared" si="12"/>
        <v>911119</v>
      </c>
      <c r="P46" s="4">
        <f t="shared" ref="P46:Q46" si="14">P26+P28</f>
        <v>2738123</v>
      </c>
      <c r="Q46" s="4">
        <f t="shared" si="14"/>
        <v>36914</v>
      </c>
      <c r="R46" s="4">
        <f t="shared" ref="R46" si="15">R26+R28</f>
        <v>737665</v>
      </c>
      <c r="S46" s="4">
        <f t="shared" ref="S46:T46" si="16">S26+S28</f>
        <v>111428</v>
      </c>
      <c r="T46" s="4">
        <f t="shared" si="16"/>
        <v>111705</v>
      </c>
    </row>
    <row r="47" spans="1:20" x14ac:dyDescent="0.4">
      <c r="A47" s="1"/>
      <c r="B47" t="s">
        <v>55</v>
      </c>
      <c r="C47" t="s">
        <v>81</v>
      </c>
      <c r="D47" t="s">
        <v>56</v>
      </c>
      <c r="E47" s="4">
        <f>E27</f>
        <v>12948</v>
      </c>
      <c r="F47" s="4">
        <f>F27</f>
        <v>12460</v>
      </c>
      <c r="G47" s="4">
        <f>G27</f>
        <v>12436</v>
      </c>
      <c r="H47" s="4">
        <f>H27</f>
        <v>13388</v>
      </c>
      <c r="I47" s="4">
        <f t="shared" ref="I47:J47" si="17">I27</f>
        <v>12948</v>
      </c>
      <c r="J47" s="4">
        <f t="shared" si="17"/>
        <v>72022</v>
      </c>
      <c r="K47" s="4">
        <f t="shared" ref="K47" si="18">K27</f>
        <v>12716</v>
      </c>
      <c r="L47" s="4" t="str">
        <f t="shared" ref="L47:M47" si="19">L27</f>
        <v>N/A</v>
      </c>
      <c r="M47" s="4">
        <f t="shared" si="19"/>
        <v>4456</v>
      </c>
      <c r="N47" s="4">
        <f t="shared" ref="N47" si="20">N27</f>
        <v>6358</v>
      </c>
      <c r="O47" s="4">
        <f t="shared" ref="O47:P47" si="21">O27</f>
        <v>2829</v>
      </c>
      <c r="P47" s="4">
        <f t="shared" si="21"/>
        <v>9123</v>
      </c>
      <c r="Q47" s="4">
        <f t="shared" ref="Q47:R47" si="22">Q27</f>
        <v>273</v>
      </c>
      <c r="R47" s="4">
        <f t="shared" si="22"/>
        <v>6226</v>
      </c>
      <c r="S47" s="4">
        <f t="shared" ref="S47:T47" si="23">S27</f>
        <v>963</v>
      </c>
      <c r="T47" s="4">
        <f t="shared" si="23"/>
        <v>959</v>
      </c>
    </row>
    <row r="48" spans="1:20" x14ac:dyDescent="0.4">
      <c r="A48" s="1"/>
      <c r="B48" t="s">
        <v>58</v>
      </c>
      <c r="C48" t="s">
        <v>81</v>
      </c>
      <c r="D48" t="s">
        <v>59</v>
      </c>
      <c r="E48" s="4">
        <f>E29+E30+E31+E32</f>
        <v>88428</v>
      </c>
      <c r="F48" s="4">
        <f>F29+F30+F31+F32</f>
        <v>76942</v>
      </c>
      <c r="G48" s="4">
        <f>G29+G30+G31+G32</f>
        <v>74933</v>
      </c>
      <c r="H48" s="4">
        <f>H29+H30+H31+H32</f>
        <v>84076</v>
      </c>
      <c r="I48" s="4">
        <f>I29+I30+I31+I32</f>
        <v>81758</v>
      </c>
      <c r="J48" s="4">
        <f>J29+J30+J31+J32</f>
        <v>221392</v>
      </c>
      <c r="K48" s="4">
        <f>K29+K30+K31+K32</f>
        <v>32880</v>
      </c>
      <c r="L48" s="4" t="e">
        <f t="shared" ref="L48:M48" si="24">L29+L30+L31+L32</f>
        <v>#VALUE!</v>
      </c>
      <c r="M48" s="4">
        <f t="shared" si="24"/>
        <v>150313</v>
      </c>
      <c r="N48" s="4">
        <f t="shared" ref="N48" si="25">N29+N30+N31+N32</f>
        <v>9775</v>
      </c>
      <c r="O48" s="4">
        <f t="shared" ref="O48:P48" si="26">O29+O30+O31+O32</f>
        <v>19042</v>
      </c>
      <c r="P48" s="4">
        <f t="shared" si="26"/>
        <v>20020</v>
      </c>
      <c r="Q48" s="4">
        <f t="shared" ref="Q48:R48" si="27">Q29+Q30+Q31+Q32</f>
        <v>23423</v>
      </c>
      <c r="R48" s="4">
        <f t="shared" si="27"/>
        <v>18939</v>
      </c>
      <c r="S48" s="4">
        <f t="shared" ref="S48:T48" si="28">S29+S30+S31+S32</f>
        <v>17873</v>
      </c>
      <c r="T48" s="4">
        <f t="shared" si="28"/>
        <v>17964</v>
      </c>
    </row>
    <row r="49" spans="1:20" x14ac:dyDescent="0.4">
      <c r="A49" s="1"/>
      <c r="B49" t="s">
        <v>80</v>
      </c>
      <c r="C49" t="s">
        <v>81</v>
      </c>
      <c r="E49" s="4">
        <f>E25</f>
        <v>607806</v>
      </c>
      <c r="F49" s="4">
        <f>F25</f>
        <v>605018</v>
      </c>
      <c r="G49" s="4">
        <f>G25</f>
        <v>603210</v>
      </c>
      <c r="H49" s="4">
        <f>H25</f>
        <v>609326</v>
      </c>
      <c r="I49" s="4">
        <f t="shared" ref="I49:J49" si="29">I25</f>
        <v>601619</v>
      </c>
      <c r="J49" s="4">
        <f t="shared" si="29"/>
        <v>746581</v>
      </c>
      <c r="K49" s="4">
        <f t="shared" ref="K49" si="30">K25</f>
        <v>539081</v>
      </c>
      <c r="L49" s="4" t="str">
        <f t="shared" ref="L49:M49" si="31">L25</f>
        <v>N/A</v>
      </c>
      <c r="M49" s="4">
        <f t="shared" si="31"/>
        <v>372095</v>
      </c>
      <c r="N49" s="4">
        <f t="shared" ref="N49" si="32">N25</f>
        <v>442880</v>
      </c>
      <c r="O49" s="4">
        <f t="shared" ref="O49:P49" si="33">O25</f>
        <v>934000</v>
      </c>
      <c r="P49" s="4">
        <f t="shared" si="33"/>
        <v>2767266</v>
      </c>
      <c r="Q49" s="4">
        <f t="shared" ref="Q49:R49" si="34">Q25</f>
        <v>60610</v>
      </c>
      <c r="R49" s="4">
        <f t="shared" si="34"/>
        <v>762830</v>
      </c>
      <c r="S49" s="4">
        <f t="shared" ref="S49:T49" si="35">S25</f>
        <v>130263</v>
      </c>
      <c r="T49" s="4">
        <f t="shared" si="35"/>
        <v>130627</v>
      </c>
    </row>
    <row r="50" spans="1:20" x14ac:dyDescent="0.4">
      <c r="A50" s="1"/>
      <c r="B50" t="s">
        <v>90</v>
      </c>
      <c r="C50" t="s">
        <v>20</v>
      </c>
      <c r="D50" t="s">
        <v>61</v>
      </c>
      <c r="E50">
        <f>E40*E45*E49</f>
        <v>226689126666.66669</v>
      </c>
      <c r="F50">
        <f>F40*F45*F49</f>
        <v>225649305925.92593</v>
      </c>
      <c r="G50">
        <f>G40*G45*G49</f>
        <v>224974988888.88889</v>
      </c>
      <c r="H50">
        <f>H40*H45*H49</f>
        <v>227256030370.37039</v>
      </c>
      <c r="I50">
        <f t="shared" ref="I50:O50" si="36">I40*I45*I49</f>
        <v>224381604814.81482</v>
      </c>
      <c r="J50">
        <f t="shared" si="36"/>
        <v>313252944583.33331</v>
      </c>
      <c r="K50">
        <f t="shared" si="36"/>
        <v>226189402916.66666</v>
      </c>
      <c r="L50" t="e">
        <f t="shared" si="36"/>
        <v>#VALUE!</v>
      </c>
      <c r="M50">
        <f t="shared" si="36"/>
        <v>156124860416.66666</v>
      </c>
      <c r="N50">
        <f t="shared" si="36"/>
        <v>79639314285.714294</v>
      </c>
      <c r="O50">
        <f t="shared" si="36"/>
        <v>117567250000</v>
      </c>
      <c r="P50">
        <f>P40*P45*P49</f>
        <v>145137336562.5</v>
      </c>
      <c r="Q50">
        <f>Q40*Q45*Q49</f>
        <v>38146418750</v>
      </c>
      <c r="R50">
        <f>R40*R45*R49</f>
        <v>87292023863.636353</v>
      </c>
      <c r="S50">
        <f>S40*S45*S49</f>
        <v>20496068906.25</v>
      </c>
      <c r="T50">
        <f>T40*T45*T49</f>
        <v>20553342031.25</v>
      </c>
    </row>
    <row r="51" spans="1:20" x14ac:dyDescent="0.4">
      <c r="A51" s="1"/>
      <c r="B51" t="s">
        <v>91</v>
      </c>
      <c r="C51" t="s">
        <v>20</v>
      </c>
      <c r="D51" t="s">
        <v>92</v>
      </c>
      <c r="E51" s="3">
        <f>E50/3600000000</f>
        <v>62.969201851851857</v>
      </c>
      <c r="F51" s="3">
        <f>F50/3600000000</f>
        <v>62.68036275720165</v>
      </c>
      <c r="G51" s="3">
        <f>G50/3600000000</f>
        <v>62.493052469135804</v>
      </c>
      <c r="H51" s="3">
        <f>H50/3600000000</f>
        <v>63.126675102880661</v>
      </c>
      <c r="I51" s="3">
        <f t="shared" ref="I51:T51" si="37">I50/3600000000</f>
        <v>62.328223559670782</v>
      </c>
      <c r="J51" s="3">
        <f t="shared" si="37"/>
        <v>87.014706828703694</v>
      </c>
      <c r="K51" s="3">
        <f t="shared" si="37"/>
        <v>62.830389699074068</v>
      </c>
      <c r="L51" s="3" t="e">
        <f t="shared" si="37"/>
        <v>#VALUE!</v>
      </c>
      <c r="M51" s="3">
        <f t="shared" si="37"/>
        <v>43.368016782407402</v>
      </c>
      <c r="N51" s="3">
        <f t="shared" si="37"/>
        <v>22.122031746031748</v>
      </c>
      <c r="O51" s="3">
        <f t="shared" si="37"/>
        <v>32.657569444444448</v>
      </c>
      <c r="P51" s="3">
        <f t="shared" si="37"/>
        <v>40.315926822916666</v>
      </c>
      <c r="Q51" s="3">
        <f t="shared" si="37"/>
        <v>10.596227430555556</v>
      </c>
      <c r="R51" s="3">
        <f t="shared" si="37"/>
        <v>24.247784406565653</v>
      </c>
      <c r="S51" s="3">
        <f t="shared" si="37"/>
        <v>5.693352473958333</v>
      </c>
      <c r="T51" s="3">
        <f t="shared" si="37"/>
        <v>5.7092616753472223</v>
      </c>
    </row>
    <row r="52" spans="1:20" x14ac:dyDescent="0.4">
      <c r="A52" s="1"/>
      <c r="B52" t="s">
        <v>43</v>
      </c>
      <c r="C52" t="s">
        <v>78</v>
      </c>
      <c r="E52">
        <v>0.69</v>
      </c>
      <c r="F52">
        <v>0.69</v>
      </c>
      <c r="G52">
        <v>0.69</v>
      </c>
      <c r="H52">
        <v>0.69</v>
      </c>
      <c r="I52">
        <v>0.69</v>
      </c>
      <c r="J52">
        <v>0.69</v>
      </c>
      <c r="K52">
        <v>0.69</v>
      </c>
      <c r="L52">
        <v>0.69</v>
      </c>
      <c r="M52">
        <v>0.69</v>
      </c>
      <c r="N52">
        <v>1.99</v>
      </c>
      <c r="O52">
        <v>5.89</v>
      </c>
      <c r="P52">
        <v>5.89</v>
      </c>
      <c r="Q52">
        <v>2.99</v>
      </c>
      <c r="R52">
        <v>2.99</v>
      </c>
      <c r="S52">
        <v>2.99</v>
      </c>
      <c r="T52">
        <v>2.99</v>
      </c>
    </row>
    <row r="53" spans="1:20" x14ac:dyDescent="0.4">
      <c r="A53" s="12"/>
      <c r="B53" s="12" t="s">
        <v>44</v>
      </c>
      <c r="C53" s="12" t="s">
        <v>20</v>
      </c>
      <c r="D53" s="12" t="s">
        <v>62</v>
      </c>
      <c r="E53" s="13">
        <f>E51*E52</f>
        <v>43.448749277777779</v>
      </c>
      <c r="F53" s="13">
        <f t="shared" ref="F53:K53" si="38">F51*F52</f>
        <v>43.249450302469135</v>
      </c>
      <c r="G53" s="13">
        <f t="shared" si="38"/>
        <v>43.120206203703702</v>
      </c>
      <c r="H53" s="13">
        <f t="shared" si="38"/>
        <v>43.557405820987654</v>
      </c>
      <c r="I53" s="13">
        <f t="shared" si="38"/>
        <v>43.006474256172837</v>
      </c>
      <c r="J53" s="13">
        <f t="shared" si="38"/>
        <v>60.040147711805545</v>
      </c>
      <c r="K53" s="13">
        <f t="shared" si="38"/>
        <v>43.352968892361105</v>
      </c>
      <c r="L53" s="13" t="e">
        <f t="shared" ref="L53:M53" si="39">L51*L52</f>
        <v>#VALUE!</v>
      </c>
      <c r="M53" s="13">
        <f t="shared" si="39"/>
        <v>29.923931579861105</v>
      </c>
      <c r="N53" s="13">
        <f t="shared" ref="N53" si="40">N51*N52</f>
        <v>44.022843174603182</v>
      </c>
      <c r="O53" s="13">
        <f t="shared" ref="O53:P53" si="41">O51*O52</f>
        <v>192.35308402777778</v>
      </c>
      <c r="P53" s="13">
        <f t="shared" si="41"/>
        <v>237.46080898697915</v>
      </c>
      <c r="Q53" s="13">
        <f t="shared" ref="Q53:R53" si="42">Q51*Q52</f>
        <v>31.682720017361117</v>
      </c>
      <c r="R53" s="13">
        <f t="shared" si="42"/>
        <v>72.50087537563131</v>
      </c>
      <c r="S53" s="13">
        <f>S51*S52</f>
        <v>17.023123897135417</v>
      </c>
      <c r="T53" s="13">
        <f t="shared" ref="S53:T53" si="43">T51*T52</f>
        <v>17.070692409288196</v>
      </c>
    </row>
    <row r="54" spans="1:20" x14ac:dyDescent="0.4">
      <c r="A54" s="9" t="s">
        <v>88</v>
      </c>
      <c r="B54" s="10" t="s">
        <v>37</v>
      </c>
      <c r="C54" s="10" t="s">
        <v>78</v>
      </c>
      <c r="D54" s="10" t="s">
        <v>94</v>
      </c>
      <c r="E54" s="10">
        <v>96</v>
      </c>
      <c r="F54" s="10">
        <v>96</v>
      </c>
      <c r="G54" s="10">
        <v>96</v>
      </c>
      <c r="H54" s="10">
        <v>96</v>
      </c>
      <c r="I54" s="10">
        <v>96</v>
      </c>
      <c r="J54" s="10">
        <v>96</v>
      </c>
      <c r="K54" s="10">
        <v>96</v>
      </c>
      <c r="L54" s="10">
        <v>96</v>
      </c>
      <c r="M54" s="10">
        <v>96</v>
      </c>
      <c r="N54" s="10">
        <v>96</v>
      </c>
      <c r="O54" s="10">
        <v>96</v>
      </c>
      <c r="P54" s="10">
        <v>96</v>
      </c>
      <c r="Q54" s="10">
        <v>96</v>
      </c>
      <c r="R54" s="10">
        <v>96</v>
      </c>
      <c r="S54" s="10">
        <v>96</v>
      </c>
      <c r="T54" s="10">
        <v>96</v>
      </c>
    </row>
    <row r="55" spans="1:20" x14ac:dyDescent="0.4">
      <c r="A55" s="1"/>
      <c r="B55" t="s">
        <v>38</v>
      </c>
      <c r="C55" s="11" t="s">
        <v>98</v>
      </c>
      <c r="D55" t="s">
        <v>95</v>
      </c>
      <c r="E55">
        <v>1.8</v>
      </c>
      <c r="F55">
        <v>1.8</v>
      </c>
      <c r="G55">
        <v>1.8</v>
      </c>
      <c r="H55">
        <v>1.8</v>
      </c>
      <c r="I55">
        <v>1.8</v>
      </c>
      <c r="J55">
        <v>1.8</v>
      </c>
      <c r="K55">
        <v>1.8</v>
      </c>
      <c r="L55">
        <v>1.8</v>
      </c>
      <c r="M55">
        <v>1.8</v>
      </c>
      <c r="N55">
        <v>1.8</v>
      </c>
      <c r="O55">
        <v>1.8</v>
      </c>
      <c r="P55">
        <v>1.8</v>
      </c>
      <c r="Q55">
        <v>1.8</v>
      </c>
      <c r="R55">
        <v>1.8</v>
      </c>
      <c r="S55">
        <v>1.8</v>
      </c>
      <c r="T55">
        <v>1.8</v>
      </c>
    </row>
    <row r="56" spans="1:20" x14ac:dyDescent="0.4">
      <c r="A56" s="1"/>
      <c r="B56" t="s">
        <v>40</v>
      </c>
      <c r="C56" t="s">
        <v>20</v>
      </c>
      <c r="D56" t="s">
        <v>51</v>
      </c>
      <c r="E56">
        <f>E$44*(E54/E$41)</f>
        <v>108</v>
      </c>
      <c r="F56">
        <f>F$44*(F54/F$41)</f>
        <v>108</v>
      </c>
      <c r="G56">
        <f>G$44*(G54/G$41)</f>
        <v>108</v>
      </c>
      <c r="H56">
        <f>H$44*(H54/H$41)</f>
        <v>108</v>
      </c>
      <c r="I56">
        <f t="shared" ref="I56:K56" si="44">I$44*(I54/I$41)</f>
        <v>108</v>
      </c>
      <c r="J56">
        <f t="shared" si="44"/>
        <v>96</v>
      </c>
      <c r="K56">
        <f t="shared" si="44"/>
        <v>96</v>
      </c>
      <c r="L56" t="e">
        <f>L$44*(L54/L$41)</f>
        <v>#VALUE!</v>
      </c>
      <c r="M56">
        <f>M$44*(M54/M$41)</f>
        <v>96</v>
      </c>
      <c r="N56">
        <f>N$44*(N54/N$41)</f>
        <v>56</v>
      </c>
      <c r="O56">
        <f t="shared" ref="O56:P56" si="45">O$44*(O54/O$41)</f>
        <v>42.666666666666664</v>
      </c>
      <c r="P56">
        <f t="shared" si="45"/>
        <v>102.4</v>
      </c>
      <c r="Q56">
        <f t="shared" ref="Q56:R56" si="46">Q$44*(Q54/Q$41)</f>
        <v>19.2</v>
      </c>
      <c r="R56">
        <f t="shared" si="46"/>
        <v>105.6</v>
      </c>
      <c r="S56">
        <f t="shared" ref="S56:T56" si="47">S$44*(S54/S$41)</f>
        <v>76.8</v>
      </c>
      <c r="T56">
        <f t="shared" si="47"/>
        <v>76.8</v>
      </c>
    </row>
    <row r="57" spans="1:20" x14ac:dyDescent="0.4">
      <c r="A57" s="1"/>
      <c r="B57" t="s">
        <v>41</v>
      </c>
      <c r="C57" t="s">
        <v>20</v>
      </c>
      <c r="D57" t="s">
        <v>52</v>
      </c>
      <c r="E57">
        <f>IF(E56="","",E$39/E56)</f>
        <v>932.40740740740739</v>
      </c>
      <c r="F57">
        <f>IF(F56="","",F$39/F56)</f>
        <v>932.40740740740739</v>
      </c>
      <c r="G57">
        <f>IF(G56="","",G$39/G56)</f>
        <v>932.40740740740739</v>
      </c>
      <c r="H57">
        <f>IF(H56="","",H$39/H56)</f>
        <v>932.40740740740739</v>
      </c>
      <c r="I57">
        <f>IF(I56="","",I$39/I56)</f>
        <v>932.40740740740739</v>
      </c>
      <c r="J57">
        <f>IF(J56="","",J$39/J56)</f>
        <v>1048.9583333333333</v>
      </c>
      <c r="K57">
        <f>IF(K56="","",K$39/K56)</f>
        <v>1048.9583333333333</v>
      </c>
      <c r="L57" t="e">
        <f>IF(L56="","",L$39/L56)</f>
        <v>#VALUE!</v>
      </c>
      <c r="M57">
        <f>IF(M56="","",M$39/M56)</f>
        <v>1048.9583333333333</v>
      </c>
      <c r="N57">
        <f>IF(N56="","",N$39/N56)</f>
        <v>1798.2142857142858</v>
      </c>
      <c r="O57">
        <f>IF(O56="","",O$39/O56)</f>
        <v>2360.15625</v>
      </c>
      <c r="P57">
        <f>IF(P56="","",P$39/P56)</f>
        <v>983.3984375</v>
      </c>
      <c r="Q57">
        <f>IF(Q56="","",Q$39/Q56)</f>
        <v>5244.791666666667</v>
      </c>
      <c r="R57">
        <f>IF(R56="","",R$39/R56)</f>
        <v>953.59848484848487</v>
      </c>
      <c r="S57">
        <f>IF(S56="","",S$39/S56)</f>
        <v>1311.1979166666667</v>
      </c>
      <c r="T57">
        <f>IF(T56="","",T$39/T56)</f>
        <v>1311.1979166666667</v>
      </c>
    </row>
    <row r="58" spans="1:20" x14ac:dyDescent="0.4">
      <c r="A58" s="1"/>
      <c r="B58" t="s">
        <v>53</v>
      </c>
      <c r="C58" t="s">
        <v>20</v>
      </c>
      <c r="D58" t="s">
        <v>54</v>
      </c>
      <c r="E58">
        <f>E$46*(E$43/E55)</f>
        <v>284162.37777777779</v>
      </c>
      <c r="F58">
        <f>F$46*(F$43/F55)</f>
        <v>289318.98888888891</v>
      </c>
      <c r="G58">
        <f>G$46*(G$43/G55)</f>
        <v>289445.23888888891</v>
      </c>
      <c r="H58">
        <f>H$46*(H$43/H55)</f>
        <v>287211.45555555559</v>
      </c>
      <c r="I58">
        <f t="shared" ref="I58:K58" si="48">I$46*(I$43/I55)</f>
        <v>284434.51666666666</v>
      </c>
      <c r="J58">
        <f t="shared" si="48"/>
        <v>254277.0388888889</v>
      </c>
      <c r="K58">
        <f t="shared" si="48"/>
        <v>276899.91666666669</v>
      </c>
      <c r="L58" t="e">
        <f t="shared" ref="L58:M58" si="49">L$46*(L$43/L55)</f>
        <v>#VALUE!</v>
      </c>
      <c r="M58">
        <f t="shared" si="49"/>
        <v>121944.03333333334</v>
      </c>
      <c r="N58">
        <f t="shared" ref="N58" si="50">N$46*(N$43/N55)</f>
        <v>426747</v>
      </c>
      <c r="O58">
        <f t="shared" ref="O58:P58" si="51">O$46*(O$43/O55)</f>
        <v>4049417.777777778</v>
      </c>
      <c r="P58">
        <f t="shared" si="51"/>
        <v>12169435.555555556</v>
      </c>
      <c r="Q58">
        <f t="shared" ref="Q58:R58" si="52">Q$46*(Q$43/Q55)</f>
        <v>164062.22222222222</v>
      </c>
      <c r="R58">
        <f t="shared" si="52"/>
        <v>3278511.1111111115</v>
      </c>
      <c r="S58">
        <f t="shared" ref="S58:T58" si="53">S$46*(S$43/S55)</f>
        <v>495235.55555555556</v>
      </c>
      <c r="T58">
        <f t="shared" si="53"/>
        <v>496466.66666666669</v>
      </c>
    </row>
    <row r="59" spans="1:20" x14ac:dyDescent="0.4">
      <c r="A59" s="1"/>
      <c r="B59" t="s">
        <v>55</v>
      </c>
      <c r="C59" t="s">
        <v>20</v>
      </c>
      <c r="D59" t="s">
        <v>57</v>
      </c>
      <c r="E59" s="4">
        <f>E$47</f>
        <v>12948</v>
      </c>
      <c r="F59" s="4">
        <f>F$47</f>
        <v>12460</v>
      </c>
      <c r="G59" s="4">
        <f>G$47</f>
        <v>12436</v>
      </c>
      <c r="H59" s="4">
        <f>H$47</f>
        <v>13388</v>
      </c>
      <c r="I59" s="4">
        <f>I$47</f>
        <v>12948</v>
      </c>
      <c r="J59" s="4">
        <f>J$47</f>
        <v>72022</v>
      </c>
      <c r="K59" s="4">
        <f>K$47</f>
        <v>12716</v>
      </c>
      <c r="L59" s="4" t="str">
        <f>L$47</f>
        <v>N/A</v>
      </c>
      <c r="M59" s="4">
        <f>M$47</f>
        <v>4456</v>
      </c>
      <c r="N59" s="4">
        <f>N$47</f>
        <v>6358</v>
      </c>
      <c r="O59" s="4">
        <f>O$47</f>
        <v>2829</v>
      </c>
      <c r="P59" s="4">
        <f>P$47</f>
        <v>9123</v>
      </c>
      <c r="Q59" s="4">
        <f>Q$47</f>
        <v>273</v>
      </c>
      <c r="R59" s="4">
        <f>R$47</f>
        <v>6226</v>
      </c>
      <c r="S59" s="4">
        <f>S$47</f>
        <v>963</v>
      </c>
      <c r="T59" s="4">
        <f>T$47</f>
        <v>959</v>
      </c>
    </row>
    <row r="60" spans="1:20" x14ac:dyDescent="0.4">
      <c r="A60" s="1"/>
      <c r="B60" t="s">
        <v>58</v>
      </c>
      <c r="C60" t="s">
        <v>20</v>
      </c>
      <c r="D60" t="s">
        <v>59</v>
      </c>
      <c r="E60" s="4">
        <f>E$48</f>
        <v>88428</v>
      </c>
      <c r="F60" s="4">
        <f>F$48</f>
        <v>76942</v>
      </c>
      <c r="G60" s="4">
        <f>G$48</f>
        <v>74933</v>
      </c>
      <c r="H60" s="4">
        <f>H$48</f>
        <v>84076</v>
      </c>
      <c r="I60" s="4">
        <f>I$48</f>
        <v>81758</v>
      </c>
      <c r="J60" s="4">
        <f>J$48</f>
        <v>221392</v>
      </c>
      <c r="K60" s="4">
        <f>K$48</f>
        <v>32880</v>
      </c>
      <c r="L60" s="4" t="e">
        <f>L$48</f>
        <v>#VALUE!</v>
      </c>
      <c r="M60" s="4">
        <f>M$48</f>
        <v>150313</v>
      </c>
      <c r="N60" s="4">
        <f>N$48</f>
        <v>9775</v>
      </c>
      <c r="O60" s="4">
        <f>O$48</f>
        <v>19042</v>
      </c>
      <c r="P60" s="4">
        <f>P$48</f>
        <v>20020</v>
      </c>
      <c r="Q60" s="4">
        <f>Q$48</f>
        <v>23423</v>
      </c>
      <c r="R60" s="4">
        <f>R$48</f>
        <v>18939</v>
      </c>
      <c r="S60" s="4">
        <f>S$48</f>
        <v>17873</v>
      </c>
      <c r="T60" s="4">
        <f>T$48</f>
        <v>17964</v>
      </c>
    </row>
    <row r="61" spans="1:20" x14ac:dyDescent="0.4">
      <c r="A61" s="1"/>
      <c r="B61" t="s">
        <v>42</v>
      </c>
      <c r="C61" t="s">
        <v>20</v>
      </c>
      <c r="D61" t="s">
        <v>60</v>
      </c>
      <c r="E61">
        <f>SUM(E58:E60)</f>
        <v>385538.37777777779</v>
      </c>
      <c r="F61">
        <f>SUM(F58:F60)</f>
        <v>378720.98888888891</v>
      </c>
      <c r="G61">
        <f>SUM(G58:G60)</f>
        <v>376814.23888888891</v>
      </c>
      <c r="H61">
        <f>SUM(H58:H60)</f>
        <v>384675.45555555559</v>
      </c>
      <c r="I61">
        <f t="shared" ref="I61:T61" si="54">SUM(I58:I60)</f>
        <v>379140.51666666666</v>
      </c>
      <c r="J61">
        <f t="shared" si="54"/>
        <v>547691.0388888889</v>
      </c>
      <c r="K61">
        <f t="shared" si="54"/>
        <v>322495.91666666669</v>
      </c>
      <c r="L61" t="e">
        <f t="shared" si="54"/>
        <v>#VALUE!</v>
      </c>
      <c r="M61">
        <f t="shared" si="54"/>
        <v>276713.03333333333</v>
      </c>
      <c r="N61">
        <f t="shared" si="54"/>
        <v>442880</v>
      </c>
      <c r="O61">
        <f t="shared" si="54"/>
        <v>4071288.777777778</v>
      </c>
      <c r="P61">
        <f t="shared" si="54"/>
        <v>12198578.555555556</v>
      </c>
      <c r="Q61">
        <f t="shared" si="54"/>
        <v>187758.22222222222</v>
      </c>
      <c r="R61">
        <f t="shared" si="54"/>
        <v>3303676.1111111115</v>
      </c>
      <c r="S61">
        <f t="shared" si="54"/>
        <v>514071.55555555556</v>
      </c>
      <c r="T61">
        <f t="shared" si="54"/>
        <v>515389.66666666669</v>
      </c>
    </row>
    <row r="62" spans="1:20" x14ac:dyDescent="0.4">
      <c r="A62" s="1"/>
      <c r="B62" t="s">
        <v>90</v>
      </c>
      <c r="C62" t="s">
        <v>20</v>
      </c>
      <c r="D62" t="s">
        <v>61</v>
      </c>
      <c r="E62">
        <f>E$40*E57*E61</f>
        <v>35947883927.983543</v>
      </c>
      <c r="F62">
        <f>F$40*F57*F61</f>
        <v>35312225538.065849</v>
      </c>
      <c r="G62">
        <f>G$40*G57*G61</f>
        <v>35134438755.65844</v>
      </c>
      <c r="H62">
        <f>H$40*H57*H61</f>
        <v>35867424420.781898</v>
      </c>
      <c r="I62">
        <f>I$40*I57*I61</f>
        <v>35351342618.827164</v>
      </c>
      <c r="J62">
        <f>J$40*J57*J61</f>
        <v>57450507933.449074</v>
      </c>
      <c r="K62">
        <f>K$40*K57*K61</f>
        <v>33828477925.347221</v>
      </c>
      <c r="L62" t="e">
        <f>L$40*L57*L61</f>
        <v>#VALUE!</v>
      </c>
      <c r="M62">
        <f>M$40*M57*M61</f>
        <v>29026044225.694443</v>
      </c>
      <c r="N62">
        <f>N$40*N57*N61</f>
        <v>79639314285.714294</v>
      </c>
      <c r="O62">
        <f>O$40*O57*O61</f>
        <v>960887765442.70837</v>
      </c>
      <c r="P62">
        <f>P$40*P57*P61</f>
        <v>1199606309125.4341</v>
      </c>
      <c r="Q62">
        <f>Q$40*Q57*Q61</f>
        <v>98475275925.925934</v>
      </c>
      <c r="R62">
        <f>R$40*R57*R61</f>
        <v>315038053398.56903</v>
      </c>
      <c r="S62">
        <f>S$40*S57*S61</f>
        <v>67404955266.203712</v>
      </c>
      <c r="T62">
        <f>T$40*T57*T61</f>
        <v>67577785720.486122</v>
      </c>
    </row>
    <row r="63" spans="1:20" x14ac:dyDescent="0.4">
      <c r="A63" s="1"/>
      <c r="B63" t="s">
        <v>91</v>
      </c>
      <c r="C63" t="s">
        <v>20</v>
      </c>
      <c r="D63" t="s">
        <v>92</v>
      </c>
      <c r="E63" s="3">
        <f>E62/3600000000</f>
        <v>9.9855233133287626</v>
      </c>
      <c r="F63" s="3">
        <f>F62/3600000000</f>
        <v>9.808951538351625</v>
      </c>
      <c r="G63" s="3">
        <f>G62/3600000000</f>
        <v>9.7595663210162336</v>
      </c>
      <c r="H63" s="3">
        <f>H62/3600000000</f>
        <v>9.9631734502171945</v>
      </c>
      <c r="I63" s="3">
        <f t="shared" ref="I63:T63" si="55">I62/3600000000</f>
        <v>9.8198173941186564</v>
      </c>
      <c r="J63" s="3">
        <f t="shared" si="55"/>
        <v>15.958474425958077</v>
      </c>
      <c r="K63" s="3">
        <f t="shared" si="55"/>
        <v>9.3967994237075612</v>
      </c>
      <c r="L63" s="3" t="e">
        <f t="shared" si="55"/>
        <v>#VALUE!</v>
      </c>
      <c r="M63" s="3">
        <f t="shared" si="55"/>
        <v>8.0627900626929012</v>
      </c>
      <c r="N63" s="3">
        <f t="shared" si="55"/>
        <v>22.122031746031748</v>
      </c>
      <c r="O63" s="3">
        <f t="shared" si="55"/>
        <v>266.91326817853013</v>
      </c>
      <c r="P63" s="3">
        <f t="shared" si="55"/>
        <v>333.22397475706504</v>
      </c>
      <c r="Q63" s="3">
        <f t="shared" si="55"/>
        <v>27.354243312757205</v>
      </c>
      <c r="R63" s="3">
        <f t="shared" si="55"/>
        <v>87.510570388491402</v>
      </c>
      <c r="S63" s="3">
        <f t="shared" si="55"/>
        <v>18.723598685056587</v>
      </c>
      <c r="T63" s="3">
        <f t="shared" si="55"/>
        <v>18.771607144579477</v>
      </c>
    </row>
    <row r="64" spans="1:20" x14ac:dyDescent="0.4">
      <c r="A64" s="1"/>
      <c r="B64" t="s">
        <v>43</v>
      </c>
      <c r="C64" t="s">
        <v>78</v>
      </c>
      <c r="E64">
        <v>1.99</v>
      </c>
      <c r="F64">
        <v>1.99</v>
      </c>
      <c r="G64">
        <v>1.99</v>
      </c>
      <c r="H64">
        <v>1.99</v>
      </c>
      <c r="I64">
        <v>1.99</v>
      </c>
      <c r="J64">
        <v>1.99</v>
      </c>
      <c r="K64">
        <v>1.99</v>
      </c>
      <c r="L64">
        <v>1.99</v>
      </c>
      <c r="M64">
        <v>1.99</v>
      </c>
      <c r="N64">
        <v>1.99</v>
      </c>
      <c r="O64">
        <v>1.99</v>
      </c>
      <c r="P64">
        <v>1.99</v>
      </c>
      <c r="Q64">
        <v>1.99</v>
      </c>
      <c r="R64">
        <v>1.99</v>
      </c>
      <c r="S64">
        <v>1.99</v>
      </c>
      <c r="T64">
        <v>1.99</v>
      </c>
    </row>
    <row r="65" spans="1:20" x14ac:dyDescent="0.4">
      <c r="A65" s="12"/>
      <c r="B65" s="12" t="s">
        <v>44</v>
      </c>
      <c r="C65" s="12" t="s">
        <v>20</v>
      </c>
      <c r="D65" s="12" t="s">
        <v>62</v>
      </c>
      <c r="E65" s="13">
        <f>E63*E64</f>
        <v>19.871191393524239</v>
      </c>
      <c r="F65" s="13">
        <f t="shared" ref="F65:K65" si="56">F63*F64</f>
        <v>19.519813561319733</v>
      </c>
      <c r="G65" s="13">
        <f>G63*G64</f>
        <v>19.421536978822306</v>
      </c>
      <c r="H65" s="13">
        <f>H63*H64</f>
        <v>19.826715165932217</v>
      </c>
      <c r="I65" s="13">
        <f t="shared" si="56"/>
        <v>19.541436614296128</v>
      </c>
      <c r="J65" s="13">
        <f>J63*J64</f>
        <v>31.757364107656571</v>
      </c>
      <c r="K65" s="13">
        <f t="shared" si="56"/>
        <v>18.699630853178046</v>
      </c>
      <c r="L65" s="13" t="e">
        <f t="shared" ref="L65:M65" si="57">L63*L64</f>
        <v>#VALUE!</v>
      </c>
      <c r="M65" s="13">
        <f t="shared" si="57"/>
        <v>16.044952224758873</v>
      </c>
      <c r="N65" s="13">
        <f t="shared" ref="N65" si="58">N63*N64</f>
        <v>44.022843174603182</v>
      </c>
      <c r="O65" s="13">
        <f t="shared" ref="O65:P65" si="59">O63*O64</f>
        <v>531.15740367527496</v>
      </c>
      <c r="P65" s="13">
        <f t="shared" si="59"/>
        <v>663.11570976655946</v>
      </c>
      <c r="Q65" s="13">
        <f t="shared" ref="Q65:R65" si="60">Q63*Q64</f>
        <v>54.434944192386837</v>
      </c>
      <c r="R65" s="13">
        <f t="shared" si="60"/>
        <v>174.14603507309789</v>
      </c>
      <c r="S65" s="13">
        <f t="shared" ref="S65:T65" si="61">S63*S64</f>
        <v>37.259961383262606</v>
      </c>
      <c r="T65" s="13">
        <f t="shared" si="61"/>
        <v>37.355498217713162</v>
      </c>
    </row>
    <row r="66" spans="1:20" x14ac:dyDescent="0.4">
      <c r="A66" s="9" t="s">
        <v>89</v>
      </c>
      <c r="B66" s="10" t="s">
        <v>37</v>
      </c>
      <c r="C66" s="10" t="s">
        <v>78</v>
      </c>
      <c r="D66" s="10" t="s">
        <v>94</v>
      </c>
      <c r="E66" s="10">
        <v>80</v>
      </c>
      <c r="F66" s="10">
        <v>80</v>
      </c>
      <c r="G66" s="10">
        <v>80</v>
      </c>
      <c r="H66" s="10">
        <v>80</v>
      </c>
      <c r="I66" s="10">
        <v>80</v>
      </c>
      <c r="J66" s="10">
        <v>80</v>
      </c>
      <c r="K66" s="10">
        <v>80</v>
      </c>
      <c r="L66" s="10">
        <v>80</v>
      </c>
      <c r="M66" s="10">
        <v>80</v>
      </c>
      <c r="N66" s="10">
        <v>80</v>
      </c>
      <c r="O66" s="10">
        <v>80</v>
      </c>
      <c r="P66" s="10">
        <v>80</v>
      </c>
      <c r="Q66" s="10">
        <v>80</v>
      </c>
      <c r="R66" s="10">
        <v>80</v>
      </c>
      <c r="S66" s="10">
        <v>80</v>
      </c>
      <c r="T66" s="10">
        <v>80</v>
      </c>
    </row>
    <row r="67" spans="1:20" x14ac:dyDescent="0.4">
      <c r="A67" s="1"/>
      <c r="B67" t="s">
        <v>38</v>
      </c>
      <c r="C67" s="11" t="s">
        <v>97</v>
      </c>
      <c r="D67" t="s">
        <v>95</v>
      </c>
      <c r="E67">
        <v>3.3</v>
      </c>
      <c r="F67">
        <v>3.3</v>
      </c>
      <c r="G67">
        <v>3.3</v>
      </c>
      <c r="H67">
        <v>3.3</v>
      </c>
      <c r="I67">
        <v>3.3</v>
      </c>
      <c r="J67">
        <v>3.3</v>
      </c>
      <c r="K67">
        <v>3.3</v>
      </c>
      <c r="L67">
        <v>3.3</v>
      </c>
      <c r="M67">
        <v>3.3</v>
      </c>
      <c r="N67">
        <v>3.3</v>
      </c>
      <c r="O67">
        <v>3.3</v>
      </c>
      <c r="P67">
        <v>3.3</v>
      </c>
      <c r="Q67">
        <v>3.3</v>
      </c>
      <c r="R67">
        <v>3.3</v>
      </c>
      <c r="S67">
        <v>3.3</v>
      </c>
      <c r="T67">
        <v>3.3</v>
      </c>
    </row>
    <row r="68" spans="1:20" x14ac:dyDescent="0.4">
      <c r="A68" s="1"/>
      <c r="B68" t="s">
        <v>40</v>
      </c>
      <c r="C68" t="s">
        <v>20</v>
      </c>
      <c r="D68" t="s">
        <v>51</v>
      </c>
      <c r="E68">
        <f>E$44*(E66/E$41)</f>
        <v>90</v>
      </c>
      <c r="F68">
        <f>F$44*(F66/F$41)</f>
        <v>90</v>
      </c>
      <c r="G68">
        <f>G$44*(G66/G$41)</f>
        <v>90</v>
      </c>
      <c r="H68">
        <f>H$44*(H66/H$41)</f>
        <v>90</v>
      </c>
      <c r="I68">
        <f t="shared" ref="I68:K68" si="62">I$44*(I66/I$41)</f>
        <v>90</v>
      </c>
      <c r="J68">
        <f t="shared" si="62"/>
        <v>80</v>
      </c>
      <c r="K68">
        <f t="shared" si="62"/>
        <v>80</v>
      </c>
      <c r="L68" t="e">
        <f t="shared" ref="L68:M68" si="63">L$44*(L66/L$41)</f>
        <v>#VALUE!</v>
      </c>
      <c r="M68">
        <f t="shared" si="63"/>
        <v>80</v>
      </c>
      <c r="N68">
        <f t="shared" ref="N68" si="64">N$44*(N66/N$41)</f>
        <v>46.666666666666671</v>
      </c>
      <c r="O68">
        <f t="shared" ref="O68:P68" si="65">O$44*(O66/O$41)</f>
        <v>35.555555555555557</v>
      </c>
      <c r="P68">
        <f t="shared" si="65"/>
        <v>85.333333333333329</v>
      </c>
      <c r="Q68">
        <f t="shared" ref="Q68:R68" si="66">Q$44*(Q66/Q$41)</f>
        <v>16</v>
      </c>
      <c r="R68">
        <f t="shared" si="66"/>
        <v>88</v>
      </c>
      <c r="S68">
        <f t="shared" ref="S68:T68" si="67">S$44*(S66/S$41)</f>
        <v>64</v>
      </c>
      <c r="T68">
        <f t="shared" si="67"/>
        <v>64</v>
      </c>
    </row>
    <row r="69" spans="1:20" x14ac:dyDescent="0.4">
      <c r="A69" s="1"/>
      <c r="B69" t="s">
        <v>41</v>
      </c>
      <c r="C69" t="s">
        <v>20</v>
      </c>
      <c r="D69" t="s">
        <v>52</v>
      </c>
      <c r="E69">
        <f>IF(E68="","",E$39/E68)</f>
        <v>1118.8888888888889</v>
      </c>
      <c r="F69">
        <f>IF(F68="","",F$39/F68)</f>
        <v>1118.8888888888889</v>
      </c>
      <c r="G69">
        <f>IF(G68="","",G$39/G68)</f>
        <v>1118.8888888888889</v>
      </c>
      <c r="H69">
        <f>IF(H68="","",H$39/H68)</f>
        <v>1118.8888888888889</v>
      </c>
      <c r="I69">
        <f>IF(I68="","",I$39/I68)</f>
        <v>1118.8888888888889</v>
      </c>
      <c r="J69">
        <f>IF(J68="","",J$39/J68)</f>
        <v>1258.75</v>
      </c>
      <c r="K69">
        <f t="shared" ref="K69" si="68">IF(K68="","",K$39/K68)</f>
        <v>1258.75</v>
      </c>
      <c r="L69" t="e">
        <f t="shared" ref="L69" si="69">IF(L68="","",L$39/L68)</f>
        <v>#VALUE!</v>
      </c>
      <c r="M69">
        <f t="shared" ref="M69" si="70">IF(M68="","",M$39/M68)</f>
        <v>1258.75</v>
      </c>
      <c r="N69">
        <f t="shared" ref="N69" si="71">IF(N68="","",N$39/N68)</f>
        <v>2157.8571428571427</v>
      </c>
      <c r="O69">
        <f>IF(O68="","",O$39/O68)</f>
        <v>2832.1875</v>
      </c>
      <c r="P69">
        <f>IF(P68="","",P$39/P68)</f>
        <v>1180.078125</v>
      </c>
      <c r="Q69">
        <f>IF(Q68="","",Q$39/Q68)</f>
        <v>6293.75</v>
      </c>
      <c r="R69">
        <f>IF(R68="","",R$39/R68)</f>
        <v>1144.3181818181818</v>
      </c>
      <c r="S69">
        <f>IF(S68="","",S$39/S68)</f>
        <v>1573.4375</v>
      </c>
      <c r="T69">
        <f>IF(T68="","",T$39/T68)</f>
        <v>1573.4375</v>
      </c>
    </row>
    <row r="70" spans="1:20" x14ac:dyDescent="0.4">
      <c r="A70" s="1"/>
      <c r="B70" t="s">
        <v>53</v>
      </c>
      <c r="C70" t="s">
        <v>20</v>
      </c>
      <c r="D70" t="s">
        <v>54</v>
      </c>
      <c r="E70">
        <f>E$46*(E$43/E67)</f>
        <v>154997.66060606061</v>
      </c>
      <c r="F70">
        <f>F$46*(F$43/F67)</f>
        <v>157810.3575757576</v>
      </c>
      <c r="G70">
        <f>G$46*(G$43/G67)</f>
        <v>157879.22121212122</v>
      </c>
      <c r="H70">
        <f>H$46*(H$43/H67)</f>
        <v>156660.79393939395</v>
      </c>
      <c r="I70">
        <f>I$46*(I$43/I67)</f>
        <v>155146.1</v>
      </c>
      <c r="J70">
        <f>J$46*(J$43/J67)</f>
        <v>138696.56666666668</v>
      </c>
      <c r="K70">
        <f t="shared" ref="K70:O70" si="72">K$46*(K$43/K67)</f>
        <v>151036.31818181821</v>
      </c>
      <c r="L70" t="e">
        <f t="shared" si="72"/>
        <v>#VALUE!</v>
      </c>
      <c r="M70">
        <f t="shared" si="72"/>
        <v>66514.927272727276</v>
      </c>
      <c r="N70">
        <f t="shared" si="72"/>
        <v>232771.09090909094</v>
      </c>
      <c r="O70">
        <f t="shared" si="72"/>
        <v>2208773.3333333335</v>
      </c>
      <c r="P70">
        <f t="shared" ref="P70:Q70" si="73">P$46*(P$43/P67)</f>
        <v>6637873.9393939395</v>
      </c>
      <c r="Q70">
        <f t="shared" si="73"/>
        <v>89488.484848484848</v>
      </c>
      <c r="R70">
        <f>R$46*(R$43/R67)</f>
        <v>1788278.7878787878</v>
      </c>
      <c r="S70">
        <f t="shared" ref="S70:T70" si="74">S$46*(S$43/S67)</f>
        <v>270128.48484848486</v>
      </c>
      <c r="T70">
        <f t="shared" si="74"/>
        <v>270800</v>
      </c>
    </row>
    <row r="71" spans="1:20" x14ac:dyDescent="0.4">
      <c r="A71" s="1"/>
      <c r="B71" t="s">
        <v>55</v>
      </c>
      <c r="C71" t="s">
        <v>20</v>
      </c>
      <c r="D71" t="s">
        <v>57</v>
      </c>
      <c r="E71" s="4">
        <f>E$47</f>
        <v>12948</v>
      </c>
      <c r="F71" s="4">
        <f>F$47</f>
        <v>12460</v>
      </c>
      <c r="G71" s="4">
        <f>G$47</f>
        <v>12436</v>
      </c>
      <c r="H71" s="4">
        <f>H$47</f>
        <v>13388</v>
      </c>
      <c r="I71" s="4">
        <f>I$47</f>
        <v>12948</v>
      </c>
      <c r="J71" s="4">
        <f>J$47</f>
        <v>72022</v>
      </c>
      <c r="K71" s="4">
        <f>K$47</f>
        <v>12716</v>
      </c>
      <c r="L71" s="4" t="str">
        <f>L$47</f>
        <v>N/A</v>
      </c>
      <c r="M71" s="4">
        <f>M$47</f>
        <v>4456</v>
      </c>
      <c r="N71" s="4">
        <f>N$47</f>
        <v>6358</v>
      </c>
      <c r="O71" s="4">
        <f>O$47</f>
        <v>2829</v>
      </c>
      <c r="P71" s="4">
        <f>P$47</f>
        <v>9123</v>
      </c>
      <c r="Q71" s="4">
        <f>Q$47</f>
        <v>273</v>
      </c>
      <c r="R71" s="4">
        <f>R$47</f>
        <v>6226</v>
      </c>
      <c r="S71" s="4">
        <f>S$47</f>
        <v>963</v>
      </c>
      <c r="T71" s="4">
        <f>T$47</f>
        <v>959</v>
      </c>
    </row>
    <row r="72" spans="1:20" x14ac:dyDescent="0.4">
      <c r="A72" s="1"/>
      <c r="B72" t="s">
        <v>58</v>
      </c>
      <c r="C72" t="s">
        <v>20</v>
      </c>
      <c r="D72" t="s">
        <v>59</v>
      </c>
      <c r="E72" s="4">
        <f>E$48</f>
        <v>88428</v>
      </c>
      <c r="F72" s="4">
        <f>F$48</f>
        <v>76942</v>
      </c>
      <c r="G72" s="4">
        <f>G$48</f>
        <v>74933</v>
      </c>
      <c r="H72" s="4">
        <f>H$48</f>
        <v>84076</v>
      </c>
      <c r="I72" s="4">
        <f>I$48</f>
        <v>81758</v>
      </c>
      <c r="J72" s="4">
        <f>J$48</f>
        <v>221392</v>
      </c>
      <c r="K72" s="4">
        <f>K$48</f>
        <v>32880</v>
      </c>
      <c r="L72" s="4" t="e">
        <f>L$48</f>
        <v>#VALUE!</v>
      </c>
      <c r="M72" s="4">
        <f>M$48</f>
        <v>150313</v>
      </c>
      <c r="N72" s="4">
        <f>N$48</f>
        <v>9775</v>
      </c>
      <c r="O72" s="4">
        <f>O$48</f>
        <v>19042</v>
      </c>
      <c r="P72" s="4">
        <f>P$48</f>
        <v>20020</v>
      </c>
      <c r="Q72" s="4">
        <f>Q$48</f>
        <v>23423</v>
      </c>
      <c r="R72" s="4">
        <f>R$48</f>
        <v>18939</v>
      </c>
      <c r="S72" s="4">
        <f>S$48</f>
        <v>17873</v>
      </c>
      <c r="T72" s="4">
        <f>T$48</f>
        <v>17964</v>
      </c>
    </row>
    <row r="73" spans="1:20" x14ac:dyDescent="0.4">
      <c r="A73" s="1"/>
      <c r="B73" t="s">
        <v>42</v>
      </c>
      <c r="C73" t="s">
        <v>20</v>
      </c>
      <c r="D73" t="s">
        <v>60</v>
      </c>
      <c r="E73">
        <f>SUM(E70:E72)</f>
        <v>256373.66060606061</v>
      </c>
      <c r="F73">
        <f>SUM(F70:F72)</f>
        <v>247212.3575757576</v>
      </c>
      <c r="G73">
        <f>SUM(G70:G72)</f>
        <v>245248.22121212122</v>
      </c>
      <c r="H73">
        <f>SUM(H70:H72)</f>
        <v>254124.79393939395</v>
      </c>
      <c r="I73">
        <f t="shared" ref="I73:J73" si="75">SUM(I70:I72)</f>
        <v>249852.1</v>
      </c>
      <c r="J73">
        <f t="shared" si="75"/>
        <v>432110.56666666665</v>
      </c>
      <c r="K73">
        <f t="shared" ref="K73" si="76">SUM(K70:K72)</f>
        <v>196632.31818181821</v>
      </c>
      <c r="L73" t="e">
        <f t="shared" ref="L73" si="77">SUM(L70:L72)</f>
        <v>#VALUE!</v>
      </c>
      <c r="M73">
        <f t="shared" ref="M73" si="78">SUM(M70:M72)</f>
        <v>221283.92727272728</v>
      </c>
      <c r="N73">
        <f t="shared" ref="N73" si="79">SUM(N70:N72)</f>
        <v>248904.09090909094</v>
      </c>
      <c r="O73">
        <f t="shared" ref="O73:T73" si="80">SUM(O70:O72)</f>
        <v>2230644.3333333335</v>
      </c>
      <c r="P73">
        <f t="shared" si="80"/>
        <v>6667016.9393939395</v>
      </c>
      <c r="Q73">
        <f t="shared" si="80"/>
        <v>113184.48484848485</v>
      </c>
      <c r="R73">
        <f t="shared" si="80"/>
        <v>1813443.7878787878</v>
      </c>
      <c r="S73">
        <f t="shared" si="80"/>
        <v>288964.48484848486</v>
      </c>
      <c r="T73">
        <f t="shared" si="80"/>
        <v>289723</v>
      </c>
    </row>
    <row r="74" spans="1:20" x14ac:dyDescent="0.4">
      <c r="A74" s="1"/>
      <c r="B74" t="s">
        <v>90</v>
      </c>
      <c r="C74" t="s">
        <v>20</v>
      </c>
      <c r="D74" t="s">
        <v>61</v>
      </c>
      <c r="E74">
        <f>E$40*E69*E73</f>
        <v>28685364025.589226</v>
      </c>
      <c r="F74">
        <f>F$40*F69*F73</f>
        <v>27660316008.754211</v>
      </c>
      <c r="G74">
        <f>G$40*G69*G73</f>
        <v>27440550973.400677</v>
      </c>
      <c r="H74">
        <f>H$40*H69*H73</f>
        <v>28433740832.996635</v>
      </c>
      <c r="I74">
        <f>I$40*I69*I73</f>
        <v>27955673855.555557</v>
      </c>
      <c r="J74">
        <f>J$40*J69*J73</f>
        <v>54391917579.166664</v>
      </c>
      <c r="K74">
        <f t="shared" ref="K74" si="81">K$40*K69*K73</f>
        <v>24751093051.136368</v>
      </c>
      <c r="L74" t="e">
        <f t="shared" ref="L74" si="82">L$40*L69*L73</f>
        <v>#VALUE!</v>
      </c>
      <c r="M74">
        <f t="shared" ref="M74" si="83">M$40*M69*M73</f>
        <v>27854114345.454544</v>
      </c>
      <c r="N74">
        <f t="shared" ref="N74" si="84">N$40*N69*N73</f>
        <v>53709947045.454544</v>
      </c>
      <c r="O74">
        <f>O$40*O69*O73</f>
        <v>631760299781.25</v>
      </c>
      <c r="P74">
        <f>P$40*P69*P73</f>
        <v>786760084918.32385</v>
      </c>
      <c r="Q74">
        <f>Q$40*Q69*Q73</f>
        <v>71235485151.515152</v>
      </c>
      <c r="R74">
        <f>R$40*R69*R73</f>
        <v>207515669817.4931</v>
      </c>
      <c r="S74">
        <f>S$40*S69*S73</f>
        <v>45466755662.878792</v>
      </c>
      <c r="T74">
        <f>T$40*T69*T73</f>
        <v>45586103281.25</v>
      </c>
    </row>
    <row r="75" spans="1:20" x14ac:dyDescent="0.4">
      <c r="A75" s="1"/>
      <c r="B75" t="s">
        <v>91</v>
      </c>
      <c r="C75" t="s">
        <v>20</v>
      </c>
      <c r="D75" t="s">
        <v>92</v>
      </c>
      <c r="E75" s="3">
        <f>E74/3600000000</f>
        <v>7.9681566737747849</v>
      </c>
      <c r="F75" s="3">
        <f>F74/3600000000</f>
        <v>7.6834211135428365</v>
      </c>
      <c r="G75" s="3">
        <f>G74/3600000000</f>
        <v>7.6223752703890773</v>
      </c>
      <c r="H75" s="3">
        <f>H74/3600000000</f>
        <v>7.8982613424990653</v>
      </c>
      <c r="I75" s="3">
        <f t="shared" ref="I75:J75" si="85">I74/3600000000</f>
        <v>7.7654649598765433</v>
      </c>
      <c r="J75" s="3">
        <f t="shared" si="85"/>
        <v>15.108865994212962</v>
      </c>
      <c r="K75" s="3">
        <f t="shared" ref="K75" si="86">K74/3600000000</f>
        <v>6.8753036253156576</v>
      </c>
      <c r="L75" s="3" t="e">
        <f t="shared" ref="L75" si="87">L74/3600000000</f>
        <v>#VALUE!</v>
      </c>
      <c r="M75" s="3">
        <f t="shared" ref="M75" si="88">M74/3600000000</f>
        <v>7.7372539848484845</v>
      </c>
      <c r="N75" s="3">
        <f t="shared" ref="N75" si="89">N74/3600000000</f>
        <v>14.919429734848485</v>
      </c>
      <c r="O75" s="3">
        <f t="shared" ref="O75:T75" si="90">O74/3600000000</f>
        <v>175.48897216145832</v>
      </c>
      <c r="P75" s="3">
        <f t="shared" si="90"/>
        <v>218.54446803286774</v>
      </c>
      <c r="Q75" s="3">
        <f t="shared" si="90"/>
        <v>19.787634764309765</v>
      </c>
      <c r="R75" s="3">
        <f t="shared" si="90"/>
        <v>57.643241615970304</v>
      </c>
      <c r="S75" s="3">
        <f t="shared" si="90"/>
        <v>12.629654350799665</v>
      </c>
      <c r="T75" s="3">
        <f t="shared" si="90"/>
        <v>12.662806467013889</v>
      </c>
    </row>
    <row r="76" spans="1:20" x14ac:dyDescent="0.4">
      <c r="A76" s="1"/>
      <c r="B76" t="s">
        <v>43</v>
      </c>
      <c r="C76" t="s">
        <v>78</v>
      </c>
      <c r="E76">
        <v>2.99</v>
      </c>
      <c r="F76">
        <v>2.99</v>
      </c>
      <c r="G76">
        <v>2.99</v>
      </c>
      <c r="H76">
        <v>2.99</v>
      </c>
      <c r="I76">
        <v>2.99</v>
      </c>
      <c r="J76">
        <v>2.99</v>
      </c>
      <c r="K76">
        <v>2.99</v>
      </c>
      <c r="L76">
        <v>2.99</v>
      </c>
      <c r="M76">
        <v>2.99</v>
      </c>
      <c r="N76">
        <v>2.99</v>
      </c>
      <c r="O76">
        <v>2.99</v>
      </c>
      <c r="P76">
        <v>2.99</v>
      </c>
      <c r="Q76">
        <v>2.99</v>
      </c>
      <c r="R76">
        <v>2.99</v>
      </c>
      <c r="S76">
        <v>2.99</v>
      </c>
      <c r="T76">
        <v>2.99</v>
      </c>
    </row>
    <row r="77" spans="1:20" x14ac:dyDescent="0.4">
      <c r="A77" s="12"/>
      <c r="B77" s="12" t="s">
        <v>44</v>
      </c>
      <c r="C77" s="12" t="s">
        <v>20</v>
      </c>
      <c r="D77" s="12" t="s">
        <v>62</v>
      </c>
      <c r="E77" s="13">
        <f>E75*E76</f>
        <v>23.82478845458661</v>
      </c>
      <c r="F77" s="13">
        <f t="shared" ref="F77:K77" si="91">F75*F76</f>
        <v>22.973429129493084</v>
      </c>
      <c r="G77" s="13">
        <f t="shared" si="91"/>
        <v>22.790902058463342</v>
      </c>
      <c r="H77" s="13">
        <f t="shared" si="91"/>
        <v>23.615801414072205</v>
      </c>
      <c r="I77" s="13">
        <f t="shared" si="91"/>
        <v>23.218740230030868</v>
      </c>
      <c r="J77" s="13">
        <f t="shared" si="91"/>
        <v>45.175509322696762</v>
      </c>
      <c r="K77" s="13">
        <f t="shared" si="91"/>
        <v>20.557157839693819</v>
      </c>
      <c r="L77" s="13" t="e">
        <f t="shared" ref="L77:M77" si="92">L75*L76</f>
        <v>#VALUE!</v>
      </c>
      <c r="M77" s="13">
        <f t="shared" si="92"/>
        <v>23.134389414696969</v>
      </c>
      <c r="N77" s="13">
        <f t="shared" ref="N77" si="93">N75*N76</f>
        <v>44.609094907196976</v>
      </c>
      <c r="O77" s="13">
        <f t="shared" ref="O77:P77" si="94">O75*O76</f>
        <v>524.71202676276039</v>
      </c>
      <c r="P77" s="13">
        <f t="shared" si="94"/>
        <v>653.44795941827454</v>
      </c>
      <c r="Q77" s="13">
        <f t="shared" ref="Q77:R77" si="95">Q75*Q76</f>
        <v>59.165027945286198</v>
      </c>
      <c r="R77" s="13">
        <f t="shared" si="95"/>
        <v>172.35329243175121</v>
      </c>
      <c r="S77" s="13">
        <f t="shared" ref="S77:T77" si="96">S75*S76</f>
        <v>37.762666508891002</v>
      </c>
      <c r="T77" s="13">
        <f t="shared" si="96"/>
        <v>37.861791336371532</v>
      </c>
    </row>
    <row r="78" spans="1:20" x14ac:dyDescent="0.4">
      <c r="A78" s="9" t="s">
        <v>45</v>
      </c>
      <c r="B78" s="10" t="s">
        <v>37</v>
      </c>
      <c r="C78" s="10" t="s">
        <v>78</v>
      </c>
      <c r="D78" s="10" t="s">
        <v>94</v>
      </c>
      <c r="E78" s="10">
        <v>180</v>
      </c>
      <c r="F78" s="10">
        <v>180</v>
      </c>
      <c r="G78" s="10">
        <v>180</v>
      </c>
      <c r="H78" s="10">
        <v>180</v>
      </c>
      <c r="I78" s="10">
        <v>180</v>
      </c>
      <c r="J78" s="10">
        <v>180</v>
      </c>
      <c r="K78" s="10">
        <v>180</v>
      </c>
      <c r="L78" s="10">
        <v>180</v>
      </c>
      <c r="M78" s="10">
        <v>180</v>
      </c>
      <c r="N78" s="10">
        <v>180</v>
      </c>
      <c r="O78" s="10">
        <v>180</v>
      </c>
      <c r="P78" s="10">
        <v>180</v>
      </c>
      <c r="Q78" s="10">
        <v>180</v>
      </c>
      <c r="R78" s="10">
        <v>180</v>
      </c>
      <c r="S78" s="10">
        <v>180</v>
      </c>
      <c r="T78" s="10">
        <v>180</v>
      </c>
    </row>
    <row r="79" spans="1:20" x14ac:dyDescent="0.4">
      <c r="B79" t="s">
        <v>38</v>
      </c>
      <c r="C79" s="11" t="s">
        <v>96</v>
      </c>
      <c r="D79" t="s">
        <v>95</v>
      </c>
      <c r="E79">
        <v>8</v>
      </c>
      <c r="F79">
        <v>8</v>
      </c>
      <c r="G79">
        <v>8</v>
      </c>
      <c r="H79">
        <v>8</v>
      </c>
      <c r="I79">
        <v>8</v>
      </c>
      <c r="J79">
        <v>8</v>
      </c>
      <c r="K79">
        <v>8</v>
      </c>
      <c r="L79">
        <v>8</v>
      </c>
      <c r="M79">
        <v>8</v>
      </c>
      <c r="N79">
        <v>8</v>
      </c>
      <c r="O79">
        <v>8</v>
      </c>
      <c r="P79">
        <v>8</v>
      </c>
      <c r="Q79">
        <v>8</v>
      </c>
      <c r="R79">
        <v>8</v>
      </c>
      <c r="S79">
        <v>8</v>
      </c>
      <c r="T79">
        <v>8</v>
      </c>
    </row>
    <row r="80" spans="1:20" x14ac:dyDescent="0.4">
      <c r="B80" t="s">
        <v>40</v>
      </c>
      <c r="C80" t="s">
        <v>20</v>
      </c>
      <c r="D80" t="s">
        <v>51</v>
      </c>
      <c r="E80">
        <f>E$44*(E78/E$41)</f>
        <v>202.5</v>
      </c>
      <c r="F80">
        <f>F$44*(F78/F$41)</f>
        <v>202.5</v>
      </c>
      <c r="G80">
        <f>G$44*(G78/G$41)</f>
        <v>202.5</v>
      </c>
      <c r="H80">
        <f>H$44*(H78/H$41)</f>
        <v>202.5</v>
      </c>
      <c r="I80">
        <f t="shared" ref="I80:K80" si="97">I$44*(I78/I$41)</f>
        <v>202.5</v>
      </c>
      <c r="J80">
        <f t="shared" si="97"/>
        <v>180</v>
      </c>
      <c r="K80">
        <f t="shared" si="97"/>
        <v>180</v>
      </c>
      <c r="L80" t="e">
        <f>L$44*(L78/L$41)</f>
        <v>#VALUE!</v>
      </c>
      <c r="M80">
        <f>M$44*(M78/M$41)</f>
        <v>180</v>
      </c>
      <c r="N80">
        <f t="shared" ref="N80" si="98">N$44*(N78/N$41)</f>
        <v>105</v>
      </c>
      <c r="O80">
        <f t="shared" ref="O80:P80" si="99">O$44*(O78/O$41)</f>
        <v>80</v>
      </c>
      <c r="P80">
        <f t="shared" si="99"/>
        <v>192</v>
      </c>
      <c r="Q80">
        <f t="shared" ref="Q80:R80" si="100">Q$44*(Q78/Q$41)</f>
        <v>36</v>
      </c>
      <c r="R80">
        <f t="shared" si="100"/>
        <v>198</v>
      </c>
      <c r="S80">
        <f t="shared" ref="S80:T80" si="101">S$44*(S78/S$41)</f>
        <v>144</v>
      </c>
      <c r="T80">
        <f t="shared" si="101"/>
        <v>144</v>
      </c>
    </row>
    <row r="81" spans="1:20" x14ac:dyDescent="0.4">
      <c r="B81" t="s">
        <v>41</v>
      </c>
      <c r="C81" t="s">
        <v>20</v>
      </c>
      <c r="D81" t="s">
        <v>52</v>
      </c>
      <c r="E81">
        <f>IF(E80="","",E$39/E80)</f>
        <v>497.28395061728395</v>
      </c>
      <c r="F81">
        <f>IF(F80="","",F$39/F80)</f>
        <v>497.28395061728395</v>
      </c>
      <c r="G81">
        <f>IF(G80="","",G$39/G80)</f>
        <v>497.28395061728395</v>
      </c>
      <c r="H81">
        <f>IF(H80="","",H$39/H80)</f>
        <v>497.28395061728395</v>
      </c>
      <c r="I81">
        <f>IF(I80="","",I$39/I80)</f>
        <v>497.28395061728395</v>
      </c>
      <c r="J81">
        <f>IF(J80="","",J$39/J80)</f>
        <v>559.44444444444446</v>
      </c>
      <c r="K81">
        <f>IF(K80="","",K$39/K80)</f>
        <v>559.44444444444446</v>
      </c>
      <c r="L81" t="e">
        <f>IF(L80="","",L$39/L80)</f>
        <v>#VALUE!</v>
      </c>
      <c r="M81">
        <f>IF(M80="","",M$39/M80)</f>
        <v>559.44444444444446</v>
      </c>
      <c r="N81">
        <f>IF(N80="","",N$39/N80)</f>
        <v>959.04761904761904</v>
      </c>
      <c r="O81">
        <f>IF(O80="","",O$39/O80)</f>
        <v>1258.75</v>
      </c>
      <c r="P81">
        <f>IF(P80="","",P$39/P80)</f>
        <v>524.47916666666663</v>
      </c>
      <c r="Q81">
        <f>IF(Q80="","",Q$39/Q80)</f>
        <v>2797.2222222222222</v>
      </c>
      <c r="R81">
        <f>IF(R80="","",R$39/R80)</f>
        <v>508.5858585858586</v>
      </c>
      <c r="S81">
        <f>IF(S80="","",S$39/S80)</f>
        <v>699.30555555555554</v>
      </c>
      <c r="T81">
        <f>IF(T80="","",T$39/T80)</f>
        <v>699.30555555555554</v>
      </c>
    </row>
    <row r="82" spans="1:20" x14ac:dyDescent="0.4">
      <c r="B82" t="s">
        <v>53</v>
      </c>
      <c r="C82" t="s">
        <v>20</v>
      </c>
      <c r="D82" t="s">
        <v>54</v>
      </c>
      <c r="E82">
        <f>E$46*(E$43/E79)</f>
        <v>63936.535000000003</v>
      </c>
      <c r="F82">
        <f>F$46*(F$43/F79)</f>
        <v>65096.772499999999</v>
      </c>
      <c r="G82">
        <f>G$46*(G$43/G79)</f>
        <v>65125.178749999999</v>
      </c>
      <c r="H82">
        <f>H$46*(H$43/H79)</f>
        <v>64622.577499999999</v>
      </c>
      <c r="I82">
        <f t="shared" ref="I82:K82" si="102">I$46*(I$43/I79)</f>
        <v>63997.766250000001</v>
      </c>
      <c r="J82">
        <f t="shared" si="102"/>
        <v>57212.333749999998</v>
      </c>
      <c r="K82">
        <f t="shared" si="102"/>
        <v>62302.481249999997</v>
      </c>
      <c r="L82" t="e">
        <f>L$46*(L$43/L79)</f>
        <v>#VALUE!</v>
      </c>
      <c r="M82">
        <f>M$46*(M$43/M79)</f>
        <v>27437.407500000001</v>
      </c>
      <c r="N82">
        <f t="shared" ref="N82" si="103">N$46*(N$43/N79)</f>
        <v>96018.074999999997</v>
      </c>
      <c r="O82">
        <f t="shared" ref="O82:P82" si="104">O$46*(O$43/O79)</f>
        <v>911119</v>
      </c>
      <c r="P82">
        <f t="shared" si="104"/>
        <v>2738123</v>
      </c>
      <c r="Q82">
        <f t="shared" ref="Q82:R82" si="105">Q$46*(Q$43/Q79)</f>
        <v>36914</v>
      </c>
      <c r="R82">
        <f t="shared" si="105"/>
        <v>737665</v>
      </c>
      <c r="S82">
        <f t="shared" ref="S82:T82" si="106">S$46*(S$43/S79)</f>
        <v>111428</v>
      </c>
      <c r="T82">
        <f t="shared" si="106"/>
        <v>111705</v>
      </c>
    </row>
    <row r="83" spans="1:20" x14ac:dyDescent="0.4">
      <c r="B83" t="s">
        <v>55</v>
      </c>
      <c r="C83" t="s">
        <v>20</v>
      </c>
      <c r="D83" t="s">
        <v>57</v>
      </c>
      <c r="E83" s="4">
        <f>E$47</f>
        <v>12948</v>
      </c>
      <c r="F83" s="4">
        <f>F$47</f>
        <v>12460</v>
      </c>
      <c r="G83" s="4">
        <f>G$47</f>
        <v>12436</v>
      </c>
      <c r="H83" s="4">
        <f>H$47</f>
        <v>13388</v>
      </c>
      <c r="I83" s="4">
        <f>I$47</f>
        <v>12948</v>
      </c>
      <c r="J83" s="4">
        <f>J$47</f>
        <v>72022</v>
      </c>
      <c r="K83" s="4">
        <f>K$47</f>
        <v>12716</v>
      </c>
      <c r="L83" s="4" t="str">
        <f>L$47</f>
        <v>N/A</v>
      </c>
      <c r="M83" s="4">
        <f>M$47</f>
        <v>4456</v>
      </c>
      <c r="N83" s="4">
        <f>N$47</f>
        <v>6358</v>
      </c>
      <c r="O83" s="4">
        <f>O$47</f>
        <v>2829</v>
      </c>
      <c r="P83" s="4">
        <f>P$47</f>
        <v>9123</v>
      </c>
      <c r="Q83" s="4">
        <f>Q$47</f>
        <v>273</v>
      </c>
      <c r="R83" s="4">
        <f>R$47</f>
        <v>6226</v>
      </c>
      <c r="S83" s="4">
        <f>S$47</f>
        <v>963</v>
      </c>
      <c r="T83" s="4">
        <f>T$47</f>
        <v>959</v>
      </c>
    </row>
    <row r="84" spans="1:20" x14ac:dyDescent="0.4">
      <c r="B84" t="s">
        <v>58</v>
      </c>
      <c r="C84" t="s">
        <v>20</v>
      </c>
      <c r="D84" t="s">
        <v>59</v>
      </c>
      <c r="E84" s="4">
        <f>E$48</f>
        <v>88428</v>
      </c>
      <c r="F84" s="4">
        <f>F$48</f>
        <v>76942</v>
      </c>
      <c r="G84" s="4">
        <f>G$48</f>
        <v>74933</v>
      </c>
      <c r="H84" s="4">
        <f>H$48</f>
        <v>84076</v>
      </c>
      <c r="I84" s="4">
        <f>I$48</f>
        <v>81758</v>
      </c>
      <c r="J84" s="4">
        <f>J$48</f>
        <v>221392</v>
      </c>
      <c r="K84" s="4">
        <f>K$48</f>
        <v>32880</v>
      </c>
      <c r="L84" s="4" t="e">
        <f>L$48</f>
        <v>#VALUE!</v>
      </c>
      <c r="M84" s="4">
        <f>M$48</f>
        <v>150313</v>
      </c>
      <c r="N84" s="4">
        <f>N$48</f>
        <v>9775</v>
      </c>
      <c r="O84" s="4">
        <f>O$48</f>
        <v>19042</v>
      </c>
      <c r="P84" s="4">
        <f>P$48</f>
        <v>20020</v>
      </c>
      <c r="Q84" s="4">
        <f>Q$48</f>
        <v>23423</v>
      </c>
      <c r="R84" s="4">
        <f>R$48</f>
        <v>18939</v>
      </c>
      <c r="S84" s="4">
        <f>S$48</f>
        <v>17873</v>
      </c>
      <c r="T84" s="4">
        <f>T$48</f>
        <v>17964</v>
      </c>
    </row>
    <row r="85" spans="1:20" x14ac:dyDescent="0.4">
      <c r="B85" t="s">
        <v>42</v>
      </c>
      <c r="C85" t="s">
        <v>20</v>
      </c>
      <c r="D85" t="s">
        <v>60</v>
      </c>
      <c r="E85">
        <f>SUM(E82:E84)</f>
        <v>165312.535</v>
      </c>
      <c r="F85">
        <f>SUM(F82:F84)</f>
        <v>154498.77249999999</v>
      </c>
      <c r="G85">
        <f>SUM(G82:G84)</f>
        <v>152494.17874999999</v>
      </c>
      <c r="H85">
        <f>SUM(H82:H84)</f>
        <v>162086.57750000001</v>
      </c>
      <c r="I85">
        <f t="shared" ref="I85:T85" si="107">SUM(I82:I84)</f>
        <v>158703.76624999999</v>
      </c>
      <c r="J85">
        <f t="shared" si="107"/>
        <v>350626.33374999999</v>
      </c>
      <c r="K85">
        <f t="shared" si="107"/>
        <v>107898.48125</v>
      </c>
      <c r="L85" t="e">
        <f t="shared" si="107"/>
        <v>#VALUE!</v>
      </c>
      <c r="M85">
        <f>SUM(M82:M84)</f>
        <v>182206.4075</v>
      </c>
      <c r="N85">
        <f t="shared" si="107"/>
        <v>112151.075</v>
      </c>
      <c r="O85">
        <f t="shared" si="107"/>
        <v>932990</v>
      </c>
      <c r="P85">
        <f t="shared" si="107"/>
        <v>2767266</v>
      </c>
      <c r="Q85">
        <f t="shared" si="107"/>
        <v>60610</v>
      </c>
      <c r="R85">
        <f t="shared" si="107"/>
        <v>762830</v>
      </c>
      <c r="S85">
        <f t="shared" si="107"/>
        <v>130264</v>
      </c>
      <c r="T85">
        <f t="shared" si="107"/>
        <v>130628</v>
      </c>
    </row>
    <row r="86" spans="1:20" x14ac:dyDescent="0.4">
      <c r="B86" t="s">
        <v>90</v>
      </c>
      <c r="C86" t="s">
        <v>20</v>
      </c>
      <c r="D86" t="s">
        <v>61</v>
      </c>
      <c r="E86">
        <f>E$40*E81*E85</f>
        <v>8220727049.1358023</v>
      </c>
      <c r="F86">
        <f>F$40*F81*F85</f>
        <v>7682975995.4320974</v>
      </c>
      <c r="G86">
        <f>G$40*G81*G85</f>
        <v>7583290765.4938259</v>
      </c>
      <c r="H86">
        <f>H$40*H81*H85</f>
        <v>8060305360.123457</v>
      </c>
      <c r="I86">
        <f>I$40*I81*I85</f>
        <v>7892083585.8641968</v>
      </c>
      <c r="J86">
        <f>J$40*J81*J85</f>
        <v>19615595449.236111</v>
      </c>
      <c r="K86">
        <f>K$40*K81*K85</f>
        <v>6036320589.9305553</v>
      </c>
      <c r="L86" t="e">
        <f>L$40*L81*L85</f>
        <v>#VALUE!</v>
      </c>
      <c r="M86">
        <f>M$40*M81*M85</f>
        <v>10193436241.805555</v>
      </c>
      <c r="N86">
        <f>N$40*N81*N85</f>
        <v>10755822145.238096</v>
      </c>
      <c r="O86">
        <f>O$40*O81*O85</f>
        <v>117440116250</v>
      </c>
      <c r="P86">
        <f>P$40*P81*P85</f>
        <v>145137336562.5</v>
      </c>
      <c r="Q86">
        <f>Q$40*Q81*Q85</f>
        <v>16953963888.888887</v>
      </c>
      <c r="R86">
        <f>R$40*R81*R85</f>
        <v>38796455050.505051</v>
      </c>
      <c r="S86">
        <f>S$40*S81*S85</f>
        <v>9109433888.8888874</v>
      </c>
      <c r="T86">
        <f>T$40*T81*T85</f>
        <v>9134888611.1111107</v>
      </c>
    </row>
    <row r="87" spans="1:20" x14ac:dyDescent="0.4">
      <c r="B87" t="s">
        <v>91</v>
      </c>
      <c r="C87" t="s">
        <v>20</v>
      </c>
      <c r="D87" t="s">
        <v>92</v>
      </c>
      <c r="E87" s="3">
        <f>E86/3600000000</f>
        <v>2.2835352914266118</v>
      </c>
      <c r="F87" s="3">
        <f>F86/3600000000</f>
        <v>2.1341599987311382</v>
      </c>
      <c r="G87" s="3">
        <f>G86/3600000000</f>
        <v>2.1064696570816182</v>
      </c>
      <c r="H87" s="3">
        <f>H86/3600000000</f>
        <v>2.2389737111454049</v>
      </c>
      <c r="I87" s="3">
        <f t="shared" ref="I87:T87" si="108">I86/3600000000</f>
        <v>2.1922454405178327</v>
      </c>
      <c r="J87" s="3">
        <f t="shared" si="108"/>
        <v>5.4487765136766972</v>
      </c>
      <c r="K87" s="3">
        <f t="shared" si="108"/>
        <v>1.6767557194251543</v>
      </c>
      <c r="L87" s="3" t="e">
        <f t="shared" si="108"/>
        <v>#VALUE!</v>
      </c>
      <c r="M87" s="3">
        <f>M86/3600000000</f>
        <v>2.8315100671682099</v>
      </c>
      <c r="N87" s="3">
        <f t="shared" si="108"/>
        <v>2.9877283736772489</v>
      </c>
      <c r="O87" s="3">
        <f t="shared" si="108"/>
        <v>32.62225451388889</v>
      </c>
      <c r="P87" s="3">
        <f t="shared" si="108"/>
        <v>40.315926822916666</v>
      </c>
      <c r="Q87" s="3">
        <f t="shared" si="108"/>
        <v>4.7094344135802464</v>
      </c>
      <c r="R87" s="3">
        <f t="shared" si="108"/>
        <v>10.776793069584736</v>
      </c>
      <c r="S87" s="3">
        <f t="shared" si="108"/>
        <v>2.5303983024691354</v>
      </c>
      <c r="T87" s="3">
        <f t="shared" si="108"/>
        <v>2.537469058641975</v>
      </c>
    </row>
    <row r="88" spans="1:20" x14ac:dyDescent="0.4">
      <c r="B88" t="s">
        <v>43</v>
      </c>
      <c r="C88" t="s">
        <v>78</v>
      </c>
      <c r="E88">
        <v>5.89</v>
      </c>
      <c r="F88">
        <v>5.89</v>
      </c>
      <c r="G88">
        <v>5.89</v>
      </c>
      <c r="H88">
        <v>5.89</v>
      </c>
      <c r="I88">
        <v>5.89</v>
      </c>
      <c r="J88">
        <v>5.89</v>
      </c>
      <c r="K88">
        <v>5.89</v>
      </c>
      <c r="L88">
        <v>5.89</v>
      </c>
      <c r="M88">
        <v>5.89</v>
      </c>
      <c r="N88">
        <v>5.89</v>
      </c>
      <c r="O88">
        <v>5.89</v>
      </c>
      <c r="P88">
        <v>5.89</v>
      </c>
      <c r="Q88">
        <v>5.89</v>
      </c>
      <c r="R88">
        <v>5.89</v>
      </c>
      <c r="S88">
        <v>5.89</v>
      </c>
      <c r="T88">
        <v>5.89</v>
      </c>
    </row>
    <row r="89" spans="1:20" x14ac:dyDescent="0.4">
      <c r="A89" s="14"/>
      <c r="B89" s="12" t="s">
        <v>44</v>
      </c>
      <c r="C89" s="12" t="s">
        <v>20</v>
      </c>
      <c r="D89" s="12" t="s">
        <v>62</v>
      </c>
      <c r="E89" s="13">
        <f>E87*E88</f>
        <v>13.450022866502742</v>
      </c>
      <c r="F89" s="13">
        <f t="shared" ref="F89:K89" si="109">F87*F88</f>
        <v>12.570202392526403</v>
      </c>
      <c r="G89" s="13">
        <f t="shared" si="109"/>
        <v>12.40710628021073</v>
      </c>
      <c r="H89" s="13">
        <f t="shared" si="109"/>
        <v>13.187555158646434</v>
      </c>
      <c r="I89" s="13">
        <f t="shared" si="109"/>
        <v>12.912325644650034</v>
      </c>
      <c r="J89" s="13">
        <f t="shared" si="109"/>
        <v>32.093293665555748</v>
      </c>
      <c r="K89" s="13">
        <f t="shared" si="109"/>
        <v>9.8760911874141577</v>
      </c>
      <c r="L89" s="13" t="e">
        <f t="shared" ref="L89" si="110">L87*L88</f>
        <v>#VALUE!</v>
      </c>
      <c r="M89" s="13">
        <f>M87*M88</f>
        <v>16.677594295620754</v>
      </c>
      <c r="N89" s="13">
        <f t="shared" ref="N89" si="111">N87*N88</f>
        <v>17.597720120958996</v>
      </c>
      <c r="O89" s="13">
        <f t="shared" ref="O89:P89" si="112">O87*O88</f>
        <v>192.14507908680557</v>
      </c>
      <c r="P89" s="13">
        <f t="shared" si="112"/>
        <v>237.46080898697915</v>
      </c>
      <c r="Q89" s="13">
        <f t="shared" ref="Q89:R89" si="113">Q87*Q88</f>
        <v>27.738568695987649</v>
      </c>
      <c r="R89" s="13">
        <f t="shared" si="113"/>
        <v>63.475311179854089</v>
      </c>
      <c r="S89" s="13">
        <f t="shared" ref="S89:T89" si="114">S87*S88</f>
        <v>14.904046001543207</v>
      </c>
      <c r="T89" s="13">
        <f t="shared" si="114"/>
        <v>14.945692755401232</v>
      </c>
    </row>
  </sheetData>
  <phoneticPr fontId="3" type="noConversion"/>
  <hyperlinks>
    <hyperlink ref="C79" r:id="rId1" xr:uid="{0D554E30-EE5F-42F4-A138-A1908E21A4BB}"/>
    <hyperlink ref="C67" r:id="rId2" xr:uid="{71577115-06BE-4208-9FAC-292A96FFC20E}"/>
    <hyperlink ref="C55" r:id="rId3" xr:uid="{637E8CC2-5B22-420C-B4B6-2D1C3BBA96FA}"/>
    <hyperlink ref="C43" r:id="rId4" xr:uid="{566E6DD7-35AB-454B-B265-6191FA3E982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Taylor-Wilmshurst</dc:creator>
  <cp:lastModifiedBy>Sam Taylor-Wilmshurst</cp:lastModifiedBy>
  <dcterms:created xsi:type="dcterms:W3CDTF">2026-07-20T21:44:17Z</dcterms:created>
  <dcterms:modified xsi:type="dcterms:W3CDTF">2026-07-23T05:08:00Z</dcterms:modified>
</cp:coreProperties>
</file>